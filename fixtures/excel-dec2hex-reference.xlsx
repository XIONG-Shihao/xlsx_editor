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hao/Documents/personal_devs/RPF_studio/editor/xlsx/fixtures/"/>
    </mc:Choice>
  </mc:AlternateContent>
  <xr:revisionPtr revIDLastSave="0" documentId="8_{ABBBE7B4-B90F-1F44-A9A1-B2B451646FD0}" xr6:coauthVersionLast="47" xr6:coauthVersionMax="47" xr10:uidLastSave="{00000000-0000-0000-0000-000000000000}"/>
  <bookViews>
    <workbookView xWindow="4420" yWindow="560" windowWidth="25500" windowHeight="17120" xr2:uid="{00000000-000D-0000-FFFF-FFFF00000000}"/>
  </bookViews>
  <sheets>
    <sheet name="Cases" sheetId="1" r:id="rId1"/>
  </sheets>
  <definedNames>
    <definedName name="InputNumber">Cases!$B$1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0" i="1" l="1" a="1"/>
  <c r="E154" i="1" a="1"/>
  <c r="E148" i="1" a="1"/>
  <c r="E142" i="1" a="1"/>
  <c r="E136" i="1" a="1"/>
  <c r="E136" i="1" s="1"/>
  <c r="E130" i="1" a="1"/>
  <c r="E124" i="1" a="1"/>
  <c r="E118" i="1"/>
  <c r="E115" i="1"/>
  <c r="E112" i="1"/>
  <c r="E109" i="1"/>
  <c r="E106" i="1"/>
  <c r="E103" i="1"/>
  <c r="E100" i="1"/>
  <c r="E97" i="1"/>
  <c r="E85" i="1"/>
  <c r="E82" i="1"/>
  <c r="E79" i="1"/>
  <c r="E76" i="1"/>
  <c r="E73" i="1"/>
  <c r="E70" i="1"/>
  <c r="E67" i="1"/>
  <c r="E64" i="1"/>
  <c r="E61" i="1"/>
  <c r="E58" i="1"/>
  <c r="E55" i="1"/>
  <c r="E52" i="1"/>
  <c r="E49" i="1"/>
  <c r="E46" i="1"/>
  <c r="E43" i="1"/>
  <c r="E40" i="1"/>
  <c r="E37" i="1"/>
  <c r="E34" i="1"/>
  <c r="E31" i="1"/>
  <c r="E28" i="1"/>
  <c r="E25" i="1"/>
  <c r="E22" i="1"/>
  <c r="E19" i="1"/>
  <c r="E16" i="1"/>
  <c r="I16" i="1" s="1"/>
  <c r="E13" i="1"/>
  <c r="E94" i="1" s="1"/>
  <c r="E10" i="1"/>
  <c r="I10" i="1" s="1"/>
  <c r="E7" i="1"/>
  <c r="I7" i="1" s="1"/>
  <c r="E4" i="1"/>
  <c r="F4" i="1" s="1"/>
  <c r="E1" i="1"/>
  <c r="F1" i="1" s="1"/>
  <c r="G4" i="1" l="1"/>
  <c r="I4" i="1"/>
  <c r="F16" i="1"/>
  <c r="G16" i="1"/>
  <c r="I1" i="1"/>
  <c r="H4" i="1"/>
  <c r="G1" i="1"/>
  <c r="H1" i="1"/>
  <c r="H7" i="1"/>
  <c r="G13" i="1"/>
  <c r="I160" i="1" a="1"/>
  <c r="I160" i="1" s="1"/>
  <c r="F13" i="1"/>
  <c r="I136" i="1" a="1"/>
  <c r="I136" i="1" s="1"/>
  <c r="E142" i="1"/>
  <c r="I142" i="1" s="1" a="1"/>
  <c r="I142" i="1" s="1"/>
  <c r="H13" i="1"/>
  <c r="I13" i="1"/>
  <c r="E148" i="1"/>
  <c r="I148" i="1" s="1" a="1"/>
  <c r="I148" i="1" s="1"/>
  <c r="H16" i="1"/>
  <c r="E124" i="1"/>
  <c r="I124" i="1" s="1" a="1"/>
  <c r="I124" i="1" s="1"/>
  <c r="F7" i="1"/>
  <c r="G7" i="1"/>
  <c r="E154" i="1"/>
  <c r="I154" i="1" s="1" a="1"/>
  <c r="I154" i="1" s="1"/>
  <c r="E130" i="1"/>
  <c r="I130" i="1" s="1" a="1"/>
  <c r="I130" i="1" s="1"/>
  <c r="E160" i="1"/>
  <c r="F10" i="1"/>
  <c r="G10" i="1"/>
  <c r="E91" i="1"/>
  <c r="E88" i="1"/>
  <c r="H10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<sst xmlns="http://schemas.openxmlformats.org/spreadsheetml/2006/main" count="52" uniqueCount="52">
  <si>
    <t>one-argument integer 0</t>
  </si>
  <si>
    <t>FF</t>
  </si>
  <si>
    <t>0</t>
  </si>
  <si>
    <t>255</t>
  </si>
  <si>
    <t>7FFFFFFF</t>
  </si>
  <si>
    <t>one-argument integer 1</t>
  </si>
  <si>
    <t>one-argument integer 15</t>
  </si>
  <si>
    <t>one-argument integer 16</t>
  </si>
  <si>
    <t>one-argument integer 255</t>
  </si>
  <si>
    <t>one-argument integer 2147483647</t>
  </si>
  <si>
    <t>numeric reference</t>
  </si>
  <si>
    <t>numeric reference plus expression</t>
  </si>
  <si>
    <t>numeric expression</t>
  </si>
  <si>
    <t>negative number</t>
  </si>
  <si>
    <t>fraction</t>
  </si>
  <si>
    <t>outside proposed native bound</t>
  </si>
  <si>
    <t>Excel positive bound</t>
  </si>
  <si>
    <t>above Excel positive bound</t>
  </si>
  <si>
    <t>optional places padding</t>
  </si>
  <si>
    <t>optional places too short</t>
  </si>
  <si>
    <t>quoted numeric text</t>
  </si>
  <si>
    <t>referenced numeric text</t>
  </si>
  <si>
    <t>literal boolean</t>
  </si>
  <si>
    <t>referenced boolean</t>
  </si>
  <si>
    <t>referenced blank</t>
  </si>
  <si>
    <t>referenced error</t>
  </si>
  <si>
    <t>formula error input</t>
  </si>
  <si>
    <t>caught formula error</t>
  </si>
  <si>
    <t>negative input is not a missing-subset error</t>
  </si>
  <si>
    <t>native LEN expression dependent</t>
  </si>
  <si>
    <t>native ISTEXT expression dependent</t>
  </si>
  <si>
    <t>native concatenation expression dependent</t>
  </si>
  <si>
    <t>compatibility VLOOKUP expression dependent</t>
  </si>
  <si>
    <t>LEN reference dependent</t>
  </si>
  <si>
    <t>ISTEXT reference dependent</t>
  </si>
  <si>
    <t>concatenation reference dependent</t>
  </si>
  <si>
    <t>inactive fractional branch</t>
  </si>
  <si>
    <t>selected qualified branch</t>
  </si>
  <si>
    <t>qualified result through IFERROR</t>
  </si>
  <si>
    <t>negative zero</t>
  </si>
  <si>
    <t>positive unary input</t>
  </si>
  <si>
    <t>invalid text</t>
  </si>
  <si>
    <t>zero places</t>
  </si>
  <si>
    <t>static numeric defined name</t>
  </si>
  <si>
    <t>vertical numeric range with free destination</t>
  </si>
  <si>
    <t>horizontal array with free destination</t>
  </si>
  <si>
    <t>vertical range with literal blocker</t>
  </si>
  <si>
    <t>occupied</t>
  </si>
  <si>
    <t>vertical range with styled blank destination</t>
  </si>
  <si>
    <t>vertical range with zero blocker</t>
  </si>
  <si>
    <t>horizontal array with merged destination</t>
  </si>
  <si>
    <t>horizontal padded array with free destination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</si>
</sst>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</v>
    <v>8</v>
    <v>0</v>
    <v>6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0"/>
  <sheetViews>
    <sheetView tabSelected="1" workbookViewId="0"/>
  </sheetViews>
  <sheetFormatPr baseColWidth="10" defaultRowHeight="16" x14ac:dyDescent="0.2"/>
  <cols>
    <col min="1" max="1" width="48" customWidth="1"/>
    <col min="2" max="15" width="18" customWidth="1"/>
  </cols>
  <sheetData>
    <row r="1" spans="1:15" ht="15" x14ac:dyDescent="0.2">
      <c r="A1" t="s">
        <v>0</v>
      </c>
      <c r="B1">
        <v>255</v>
      </c>
      <c r="E1" t="str">
        <f>DEC2HEX(0)</f>
        <v>0</v>
      </c>
      <c r="F1">
        <f>LEN(E1)</f>
        <v>1</v>
      </c>
      <c r="G1" t="b">
        <f>ISTEXT(E1)</f>
        <v>1</v>
      </c>
      <c r="H1" t="str">
        <f>E1&amp;":hex"</f>
        <v>0:hex</v>
      </c>
      <c r="I1">
        <f>VLOOKUP(E1,$N$1:$O$3,2,FALSE)</f>
        <v>10</v>
      </c>
      <c r="N1" t="s">
        <v>1</v>
      </c>
      <c r="O1">
        <v>42</v>
      </c>
    </row>
    <row r="2" spans="1:15" ht="15" x14ac:dyDescent="0.2">
      <c r="B2">
        <v>254</v>
      </c>
      <c r="N2" t="s">
        <v>2</v>
      </c>
      <c r="O2">
        <v>10</v>
      </c>
    </row>
    <row r="3" spans="1:15" ht="15" x14ac:dyDescent="0.2">
      <c r="B3" t="s">
        <v>3</v>
      </c>
      <c r="N3" t="s">
        <v>4</v>
      </c>
      <c r="O3">
        <v>99</v>
      </c>
    </row>
    <row r="4" spans="1:15" ht="15" x14ac:dyDescent="0.2">
      <c r="A4" t="s">
        <v>5</v>
      </c>
      <c r="B4" t="b">
        <v>1</v>
      </c>
      <c r="E4" t="str">
        <f>DEC2HEX(1)</f>
        <v>1</v>
      </c>
      <c r="F4">
        <f>LEN(E4)</f>
        <v>1</v>
      </c>
      <c r="G4" t="b">
        <f>ISTEXT(E4)</f>
        <v>1</v>
      </c>
      <c r="H4" t="str">
        <f>E4&amp;":hex"</f>
        <v>1:hex</v>
      </c>
      <c r="I4" t="e">
        <f>VLOOKUP(E4,$N$1:$O$3,2,FALSE)</f>
        <v>#N/A</v>
      </c>
    </row>
    <row r="5" spans="1:15" ht="15" x14ac:dyDescent="0.2"/>
    <row r="6" spans="1:15" ht="15" x14ac:dyDescent="0.2">
      <c r="B6" t="e">
        <v>#N/A</v>
      </c>
    </row>
    <row r="7" spans="1:15" ht="15" x14ac:dyDescent="0.2">
      <c r="A7" t="s">
        <v>6</v>
      </c>
      <c r="B7">
        <v>15</v>
      </c>
      <c r="E7" t="str">
        <f>DEC2HEX(15)</f>
        <v>F</v>
      </c>
      <c r="F7">
        <f>LEN(E7)</f>
        <v>1</v>
      </c>
      <c r="G7" t="b">
        <f>ISTEXT(E7)</f>
        <v>1</v>
      </c>
      <c r="H7" t="str">
        <f>E7&amp;":hex"</f>
        <v>F:hex</v>
      </c>
      <c r="I7" t="e">
        <f>VLOOKUP(E7,$N$1:$O$3,2,FALSE)</f>
        <v>#N/A</v>
      </c>
    </row>
    <row r="8" spans="1:15" ht="15" x14ac:dyDescent="0.2">
      <c r="B8">
        <v>16</v>
      </c>
    </row>
    <row r="10" spans="1:15" ht="15" x14ac:dyDescent="0.2">
      <c r="A10" t="s">
        <v>7</v>
      </c>
      <c r="E10" t="str">
        <f>DEC2HEX(16)</f>
        <v>10</v>
      </c>
      <c r="F10">
        <f>LEN(E10)</f>
        <v>2</v>
      </c>
      <c r="G10" t="b">
        <f>ISTEXT(E10)</f>
        <v>1</v>
      </c>
      <c r="H10" t="str">
        <f>E10&amp;":hex"</f>
        <v>10:hex</v>
      </c>
      <c r="I10" t="e">
        <f>VLOOKUP(E10,$N$1:$O$3,2,FALSE)</f>
        <v>#N/A</v>
      </c>
    </row>
    <row r="13" spans="1:15" ht="15" x14ac:dyDescent="0.2">
      <c r="A13" t="s">
        <v>8</v>
      </c>
      <c r="E13" t="str">
        <f>DEC2HEX(255)</f>
        <v>FF</v>
      </c>
      <c r="F13">
        <f>LEN(E13)</f>
        <v>2</v>
      </c>
      <c r="G13" t="b">
        <f>ISTEXT(E13)</f>
        <v>1</v>
      </c>
      <c r="H13" t="str">
        <f>E13&amp;":hex"</f>
        <v>FF:hex</v>
      </c>
      <c r="I13">
        <f>VLOOKUP(E13,$N$1:$O$3,2,FALSE)</f>
        <v>42</v>
      </c>
    </row>
    <row r="16" spans="1:15" ht="15" x14ac:dyDescent="0.2">
      <c r="A16" t="s">
        <v>9</v>
      </c>
      <c r="E16" t="str">
        <f>DEC2HEX(2147483647)</f>
        <v>7FFFFFFF</v>
      </c>
      <c r="F16">
        <f>LEN(E16)</f>
        <v>8</v>
      </c>
      <c r="G16" t="b">
        <f>ISTEXT(E16)</f>
        <v>1</v>
      </c>
      <c r="H16" t="str">
        <f>E16&amp;":hex"</f>
        <v>7FFFFFFF:hex</v>
      </c>
      <c r="I16">
        <f>VLOOKUP(E16,$N$1:$O$3,2,FALSE)</f>
        <v>99</v>
      </c>
    </row>
    <row r="19" spans="1:5" ht="15" x14ac:dyDescent="0.2">
      <c r="A19" t="s">
        <v>10</v>
      </c>
      <c r="E19" t="str">
        <f>DEC2HEX($B$1)</f>
        <v>FF</v>
      </c>
    </row>
    <row r="22" spans="1:5" ht="15" x14ac:dyDescent="0.2">
      <c r="A22" t="s">
        <v>11</v>
      </c>
      <c r="E22" t="str">
        <f>DEC2HEX($B$2+1)</f>
        <v>FF</v>
      </c>
    </row>
    <row r="25" spans="1:5" ht="15" x14ac:dyDescent="0.2">
      <c r="A25" t="s">
        <v>12</v>
      </c>
      <c r="E25" t="str">
        <f>DEC2HEX(128+127)</f>
        <v>FF</v>
      </c>
    </row>
    <row r="28" spans="1:5" ht="15" x14ac:dyDescent="0.2">
      <c r="A28" t="s">
        <v>13</v>
      </c>
      <c r="E28" t="str">
        <f>DEC2HEX(-1)</f>
        <v>FFFFFFFFFF</v>
      </c>
    </row>
    <row r="31" spans="1:5" ht="15" x14ac:dyDescent="0.2">
      <c r="A31" t="s">
        <v>14</v>
      </c>
      <c r="E31" t="str">
        <f>DEC2HEX(1.5)</f>
        <v>1</v>
      </c>
    </row>
    <row r="34" spans="1:5" ht="15" x14ac:dyDescent="0.2">
      <c r="A34" t="s">
        <v>15</v>
      </c>
      <c r="E34" t="str">
        <f>DEC2HEX(2147483648)</f>
        <v>80000000</v>
      </c>
    </row>
    <row r="37" spans="1:5" ht="15" x14ac:dyDescent="0.2">
      <c r="A37" t="s">
        <v>16</v>
      </c>
      <c r="E37" t="str">
        <f>DEC2HEX(549755813887)</f>
        <v>7FFFFFFFFF</v>
      </c>
    </row>
    <row r="40" spans="1:5" ht="15" x14ac:dyDescent="0.2">
      <c r="A40" t="s">
        <v>17</v>
      </c>
      <c r="E40" t="e">
        <f>DEC2HEX(549755813888)</f>
        <v>#NUM!</v>
      </c>
    </row>
    <row r="43" spans="1:5" ht="15" x14ac:dyDescent="0.2">
      <c r="A43" t="s">
        <v>18</v>
      </c>
      <c r="E43" t="str">
        <f>DEC2HEX(255,4)</f>
        <v>00FF</v>
      </c>
    </row>
    <row r="46" spans="1:5" ht="15" x14ac:dyDescent="0.2">
      <c r="A46" t="s">
        <v>19</v>
      </c>
      <c r="E46" t="e">
        <f>DEC2HEX(255,1)</f>
        <v>#NUM!</v>
      </c>
    </row>
    <row r="49" spans="1:5" ht="15" x14ac:dyDescent="0.2">
      <c r="A49" t="s">
        <v>20</v>
      </c>
      <c r="E49" t="str">
        <f>DEC2HEX("255")</f>
        <v>FF</v>
      </c>
    </row>
    <row r="52" spans="1:5" ht="15" x14ac:dyDescent="0.2">
      <c r="A52" t="s">
        <v>21</v>
      </c>
      <c r="E52" t="str">
        <f>DEC2HEX($B$3)</f>
        <v>FF</v>
      </c>
    </row>
    <row r="55" spans="1:5" ht="15" x14ac:dyDescent="0.2">
      <c r="A55" t="s">
        <v>22</v>
      </c>
      <c r="E55" t="e">
        <f>DEC2HEX(TRUE)</f>
        <v>#VALUE!</v>
      </c>
    </row>
    <row r="58" spans="1:5" ht="15" x14ac:dyDescent="0.2">
      <c r="A58" t="s">
        <v>23</v>
      </c>
      <c r="E58" t="e">
        <f>DEC2HEX($B$4)</f>
        <v>#VALUE!</v>
      </c>
    </row>
    <row r="61" spans="1:5" ht="15" x14ac:dyDescent="0.2">
      <c r="A61" t="s">
        <v>24</v>
      </c>
      <c r="E61" t="str">
        <f>DEC2HEX($B$5)</f>
        <v>0</v>
      </c>
    </row>
    <row r="64" spans="1:5" ht="15" x14ac:dyDescent="0.2">
      <c r="A64" t="s">
        <v>25</v>
      </c>
      <c r="E64" t="e">
        <f>DEC2HEX($B$6)</f>
        <v>#N/A</v>
      </c>
    </row>
    <row r="67" spans="1:5" ht="15" x14ac:dyDescent="0.2">
      <c r="A67" t="s">
        <v>26</v>
      </c>
      <c r="E67" t="e">
        <f>DEC2HEX(1/0)</f>
        <v>#DIV/0!</v>
      </c>
    </row>
    <row r="70" spans="1:5" ht="15" x14ac:dyDescent="0.2">
      <c r="A70" t="s">
        <v>27</v>
      </c>
      <c r="E70" t="str">
        <f>IFERROR(DEC2HEX(1/0),"caught")</f>
        <v>caught</v>
      </c>
    </row>
    <row r="73" spans="1:5" ht="15" x14ac:dyDescent="0.2">
      <c r="A73" t="s">
        <v>28</v>
      </c>
      <c r="E73" t="str">
        <f>IFERROR(DEC2HEX(-1),"incorrect-catch")</f>
        <v>FFFFFFFFFF</v>
      </c>
    </row>
    <row r="76" spans="1:5" ht="15" x14ac:dyDescent="0.2">
      <c r="A76" t="s">
        <v>29</v>
      </c>
      <c r="E76">
        <f>LEN(DEC2HEX(255))</f>
        <v>2</v>
      </c>
    </row>
    <row r="79" spans="1:5" ht="15" x14ac:dyDescent="0.2">
      <c r="A79" t="s">
        <v>30</v>
      </c>
      <c r="E79" t="b">
        <f>ISTEXT(DEC2HEX(255))</f>
        <v>1</v>
      </c>
    </row>
    <row r="82" spans="1:5" ht="15" x14ac:dyDescent="0.2">
      <c r="A82" t="s">
        <v>31</v>
      </c>
      <c r="E82" t="str">
        <f>DEC2HEX(255)&amp;":hex"</f>
        <v>FF:hex</v>
      </c>
    </row>
    <row r="85" spans="1:5" ht="15" x14ac:dyDescent="0.2">
      <c r="A85" t="s">
        <v>32</v>
      </c>
      <c r="E85">
        <f>VLOOKUP(DEC2HEX($B$1),$N$1:$O$3,2,FALSE)</f>
        <v>42</v>
      </c>
    </row>
    <row r="88" spans="1:5" ht="15" x14ac:dyDescent="0.2">
      <c r="A88" t="s">
        <v>33</v>
      </c>
      <c r="E88">
        <f>LEN(E13)</f>
        <v>2</v>
      </c>
    </row>
    <row r="91" spans="1:5" ht="15" x14ac:dyDescent="0.2">
      <c r="A91" t="s">
        <v>34</v>
      </c>
      <c r="E91" t="b">
        <f>ISTEXT(E13)</f>
        <v>1</v>
      </c>
    </row>
    <row r="94" spans="1:5" ht="15" x14ac:dyDescent="0.2">
      <c r="A94" t="s">
        <v>35</v>
      </c>
      <c r="E94" t="str">
        <f>E13&amp;":hex"</f>
        <v>FF:hex</v>
      </c>
    </row>
    <row r="97" spans="1:5" ht="15" x14ac:dyDescent="0.2">
      <c r="A97" t="s">
        <v>36</v>
      </c>
      <c r="E97" t="str">
        <f>IF(TRUE,DEC2HEX(255),DEC2HEX(1.5))</f>
        <v>FF</v>
      </c>
    </row>
    <row r="100" spans="1:5" ht="15" x14ac:dyDescent="0.2">
      <c r="A100" t="s">
        <v>37</v>
      </c>
      <c r="E100" t="str">
        <f>IF(FALSE,DEC2HEX(1.5),DEC2HEX(255))</f>
        <v>FF</v>
      </c>
    </row>
    <row r="103" spans="1:5" ht="15" x14ac:dyDescent="0.2">
      <c r="A103" t="s">
        <v>38</v>
      </c>
      <c r="E103" t="str">
        <f>IFERROR(DEC2HEX(255),"caught")</f>
        <v>FF</v>
      </c>
    </row>
    <row r="106" spans="1:5" ht="15" x14ac:dyDescent="0.2">
      <c r="A106" t="s">
        <v>39</v>
      </c>
      <c r="E106" t="str">
        <f>DEC2HEX(0)</f>
        <v>0</v>
      </c>
    </row>
    <row r="109" spans="1:5" ht="15" x14ac:dyDescent="0.2">
      <c r="A109" t="s">
        <v>40</v>
      </c>
      <c r="E109" t="str">
        <f>DEC2HEX(1)</f>
        <v>1</v>
      </c>
    </row>
    <row r="112" spans="1:5" ht="15" x14ac:dyDescent="0.2">
      <c r="A112" t="s">
        <v>41</v>
      </c>
      <c r="E112" t="e">
        <f>DEC2HEX("not-a-number")</f>
        <v>#VALUE!</v>
      </c>
    </row>
    <row r="115" spans="1:9" ht="15" x14ac:dyDescent="0.2">
      <c r="A115" t="s">
        <v>42</v>
      </c>
      <c r="E115" t="e">
        <f>DEC2HEX(255,0)</f>
        <v>#NUM!</v>
      </c>
    </row>
    <row r="118" spans="1:9" ht="15" x14ac:dyDescent="0.2">
      <c r="A118" t="s">
        <v>43</v>
      </c>
      <c r="E118" t="str">
        <f>DEC2HEX(InputNumber)</f>
        <v>FF</v>
      </c>
    </row>
    <row r="124" spans="1:9" ht="15" x14ac:dyDescent="0.2">
      <c r="A124" t="s">
        <v>44</v>
      </c>
      <c r="E124" t="e" cm="1">
        <f t="array" ref="E124">DEC2HEX($B$7:$B$8)</f>
        <v>#VALUE!</v>
      </c>
      <c r="I124" t="e" cm="1">
        <f t="array" ref="I124">SUM(_xlfn.ANCHORARRAY(E124))</f>
        <v>#VALUE!</v>
      </c>
    </row>
    <row r="130" spans="1:9" ht="15" x14ac:dyDescent="0.2">
      <c r="A130" t="s">
        <v>45</v>
      </c>
      <c r="E130" t="str" cm="1">
        <f t="array" ref="E130:F130">DEC2HEX({1,2})</f>
        <v>1</v>
      </c>
      <c r="F130" t="str">
        <v>2</v>
      </c>
      <c r="I130" cm="1">
        <f t="array" ref="I130">SUM(_xlfn.ANCHORARRAY(E130))</f>
        <v>0</v>
      </c>
    </row>
    <row r="136" spans="1:9" ht="15" x14ac:dyDescent="0.2">
      <c r="A136" t="s">
        <v>46</v>
      </c>
      <c r="E136" t="e" cm="1">
        <f t="array" ref="E136">DEC2HEX($B$7:$B$8)</f>
        <v>#VALUE!</v>
      </c>
      <c r="I136" t="e" cm="1">
        <f t="array" ref="I136">SUM(_xlfn.ANCHORARRAY(E136))</f>
        <v>#VALUE!</v>
      </c>
    </row>
    <row r="137" spans="1:9" ht="15" x14ac:dyDescent="0.2">
      <c r="E137" t="s">
        <v>47</v>
      </c>
    </row>
    <row r="142" spans="1:9" ht="15" x14ac:dyDescent="0.2">
      <c r="A142" t="s">
        <v>48</v>
      </c>
      <c r="E142" t="e" cm="1">
        <f t="array" ref="E142">DEC2HEX($B$7:$B$8)</f>
        <v>#VALUE!</v>
      </c>
      <c r="I142" t="e" cm="1">
        <f t="array" ref="I142">SUM(_xlfn.ANCHORARRAY(E142))</f>
        <v>#VALUE!</v>
      </c>
    </row>
    <row r="143" spans="1:9" ht="15" x14ac:dyDescent="0.2">
      <c r="E143" s="1"/>
    </row>
    <row r="148" spans="1:9" ht="15" x14ac:dyDescent="0.2">
      <c r="A148" t="s">
        <v>49</v>
      </c>
      <c r="E148" t="e" cm="1">
        <f t="array" ref="E148">DEC2HEX($B$7:$B$8)</f>
        <v>#VALUE!</v>
      </c>
      <c r="I148" t="e" cm="1">
        <f t="array" ref="I148">SUM(_xlfn.ANCHORARRAY(E148))</f>
        <v>#VALUE!</v>
      </c>
    </row>
    <row r="149" spans="1:9" ht="15" x14ac:dyDescent="0.2">
      <c r="E149">
        <v>0</v>
      </c>
    </row>
    <row r="154" spans="1:9" ht="15" x14ac:dyDescent="0.2">
      <c r="A154" t="s">
        <v>50</v>
      </c>
      <c r="E154" t="e" cm="1" vm="1">
        <f t="array" aca="1" ref="E154" ca="1">DEC2HEX({15,16})</f>
        <v>#VALUE!</v>
      </c>
      <c r="F154" s="2"/>
      <c r="G154" s="2"/>
      <c r="I154" t="e" cm="1" vm="2">
        <f t="array" aca="1" ref="I154" ca="1">SUM(_xlfn.ANCHORARRAY(E154))</f>
        <v>#VALUE!</v>
      </c>
    </row>
    <row r="160" spans="1:9" ht="15" x14ac:dyDescent="0.2">
      <c r="A160" t="s">
        <v>51</v>
      </c>
      <c r="E160" t="str" cm="1">
        <f t="array" ref="E160:F160">DEC2HEX({255,16},4)</f>
        <v>00FF</v>
      </c>
      <c r="F160" t="str">
        <v>0010</v>
      </c>
      <c r="I160" cm="1">
        <f t="array" ref="I160">SUM(_xlfn.ANCHORARRAY(E160))</f>
        <v>0</v>
      </c>
    </row>
  </sheetData>
  <mergeCells count="1">
    <mergeCell ref="F154:G1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Cases</vt:lpstr>
      <vt:lpstr>InputNumber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XIONG Shihao</cp:lastModifiedBy>
  <dcterms:created xsi:type="dcterms:W3CDTF">2026-09-30T11:49:03Z</dcterms:created>
  <dcterms:modified xsi:type="dcterms:W3CDTF">2026-09-30T11:49:03Z</dcterms:modified>
</cp:coreProperties>
</file>