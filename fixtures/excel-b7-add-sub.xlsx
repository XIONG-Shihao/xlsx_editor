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13_ncr:1_{77CD391D-105C-774F-937B-6BD8B052EC90}" xr6:coauthVersionLast="47" xr6:coauthVersionMax="47" xr10:uidLastSave="{00000000-0000-0000-0000-000000000000}"/>
  <bookViews>
    <workbookView xWindow="4420" yWindow="560" windowWidth="25500" windowHeight="17020" xr2:uid="{00000000-000D-0000-FFFF-FFFF00000000}"/>
  </bookViews>
  <sheets>
    <sheet name="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D128" i="1"/>
  <c r="D127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  <c r="D126" i="1"/>
  <c r="D125" i="1"/>
</calcChain>
</file>

<file path=xl/sharedStrings.xml><?xml version="1.0" encoding="utf-8"?>
<sst xmlns="http://schemas.openxmlformats.org/spreadsheetml/2006/main" count="128" uniqueCount="128">
  <si>
    <t>A1+A2</t>
  </si>
  <si>
    <t>A3-A2</t>
  </si>
  <si>
    <t>A1+A2-A3</t>
  </si>
  <si>
    <t>(A1+A2-A3)</t>
  </si>
  <si>
    <t>(A1+A2)-A3</t>
  </si>
  <si>
    <t>(A1+A2-A3)*1</t>
  </si>
  <si>
    <t>IF(TRUE,A1+A2-A3,1)</t>
  </si>
  <si>
    <t>SUM(A1+A2-A3)</t>
  </si>
  <si>
    <t>1-(1+2^-52)</t>
  </si>
  <si>
    <t>(1-(1+2^-52))</t>
  </si>
  <si>
    <t>1+(-1-2^-52)</t>
  </si>
  <si>
    <t>(1+(-1-2^-52))</t>
  </si>
  <si>
    <t>(1*(1+1*2^-52))-1</t>
  </si>
  <si>
    <t>((1*(1+1*2^-52))-1)</t>
  </si>
  <si>
    <t>(1*(1+2*2^-52))-1</t>
  </si>
  <si>
    <t>((1*(1+2*2^-52))-1)</t>
  </si>
  <si>
    <t>(1*(1+3*2^-52))-1</t>
  </si>
  <si>
    <t>((1*(1+3*2^-52))-1)</t>
  </si>
  <si>
    <t>(1*(1+4*2^-52))-1</t>
  </si>
  <si>
    <t>((1*(1+4*2^-52))-1)</t>
  </si>
  <si>
    <t>(1*(1+7*2^-52))-1</t>
  </si>
  <si>
    <t>((1*(1+7*2^-52))-1)</t>
  </si>
  <si>
    <t>(1*(1+8*2^-52))-1</t>
  </si>
  <si>
    <t>((1*(1+8*2^-52))-1)</t>
  </si>
  <si>
    <t>(1*(1+9*2^-52))-1</t>
  </si>
  <si>
    <t>((1*(1+9*2^-52))-1)</t>
  </si>
  <si>
    <t>(1*(1+10*2^-52))-1</t>
  </si>
  <si>
    <t>((1*(1+10*2^-52))-1)</t>
  </si>
  <si>
    <t>(1*(1+15*2^-52))-1</t>
  </si>
  <si>
    <t>((1*(1+15*2^-52))-1)</t>
  </si>
  <si>
    <t>(1*(1+16*2^-52))-1</t>
  </si>
  <si>
    <t>((1*(1+16*2^-52))-1)</t>
  </si>
  <si>
    <t>(1*(1+17*2^-52))-1</t>
  </si>
  <si>
    <t>((1*(1+17*2^-52))-1)</t>
  </si>
  <si>
    <t>(1*(1+31*2^-52))-1</t>
  </si>
  <si>
    <t>((1*(1+31*2^-52))-1)</t>
  </si>
  <si>
    <t>(1*(1+32*2^-52))-1</t>
  </si>
  <si>
    <t>((1*(1+32*2^-52))-1)</t>
  </si>
  <si>
    <t>(0.3*(1+1*2^-52))-0.3</t>
  </si>
  <si>
    <t>((0.3*(1+1*2^-52))-0.3)</t>
  </si>
  <si>
    <t>(0.3*(1+2*2^-52))-0.3</t>
  </si>
  <si>
    <t>((0.3*(1+2*2^-52))-0.3)</t>
  </si>
  <si>
    <t>(0.3*(1+3*2^-52))-0.3</t>
  </si>
  <si>
    <t>((0.3*(1+3*2^-52))-0.3)</t>
  </si>
  <si>
    <t>(0.3*(1+4*2^-52))-0.3</t>
  </si>
  <si>
    <t>((0.3*(1+4*2^-52))-0.3)</t>
  </si>
  <si>
    <t>(0.3*(1+7*2^-52))-0.3</t>
  </si>
  <si>
    <t>((0.3*(1+7*2^-52))-0.3)</t>
  </si>
  <si>
    <t>(0.3*(1+8*2^-52))-0.3</t>
  </si>
  <si>
    <t>((0.3*(1+8*2^-52))-0.3)</t>
  </si>
  <si>
    <t>(0.3*(1+9*2^-52))-0.3</t>
  </si>
  <si>
    <t>((0.3*(1+9*2^-52))-0.3)</t>
  </si>
  <si>
    <t>(0.3*(1+10*2^-52))-0.3</t>
  </si>
  <si>
    <t>((0.3*(1+10*2^-52))-0.3)</t>
  </si>
  <si>
    <t>(0.3*(1+15*2^-52))-0.3</t>
  </si>
  <si>
    <t>((0.3*(1+15*2^-52))-0.3)</t>
  </si>
  <si>
    <t>(0.3*(1+16*2^-52))-0.3</t>
  </si>
  <si>
    <t>((0.3*(1+16*2^-52))-0.3)</t>
  </si>
  <si>
    <t>(0.3*(1+17*2^-52))-0.3</t>
  </si>
  <si>
    <t>((0.3*(1+17*2^-52))-0.3)</t>
  </si>
  <si>
    <t>(0.3*(1+31*2^-52))-0.3</t>
  </si>
  <si>
    <t>((0.3*(1+31*2^-52))-0.3)</t>
  </si>
  <si>
    <t>(0.3*(1+32*2^-52))-0.3</t>
  </si>
  <si>
    <t>((0.3*(1+32*2^-52))-0.3)</t>
  </si>
  <si>
    <t>(1024*(1+1*2^-52))-1024</t>
  </si>
  <si>
    <t>((1024*(1+1*2^-52))-1024)</t>
  </si>
  <si>
    <t>(1024*(1+2*2^-52))-1024</t>
  </si>
  <si>
    <t>((1024*(1+2*2^-52))-1024)</t>
  </si>
  <si>
    <t>(1024*(1+3*2^-52))-1024</t>
  </si>
  <si>
    <t>((1024*(1+3*2^-52))-1024)</t>
  </si>
  <si>
    <t>(1024*(1+4*2^-52))-1024</t>
  </si>
  <si>
    <t>((1024*(1+4*2^-52))-1024)</t>
  </si>
  <si>
    <t>(1024*(1+7*2^-52))-1024</t>
  </si>
  <si>
    <t>((1024*(1+7*2^-52))-1024)</t>
  </si>
  <si>
    <t>(1024*(1+8*2^-52))-1024</t>
  </si>
  <si>
    <t>((1024*(1+8*2^-52))-1024)</t>
  </si>
  <si>
    <t>(1024*(1+9*2^-52))-1024</t>
  </si>
  <si>
    <t>((1024*(1+9*2^-52))-1024)</t>
  </si>
  <si>
    <t>(1024*(1+10*2^-52))-1024</t>
  </si>
  <si>
    <t>((1024*(1+10*2^-52))-1024)</t>
  </si>
  <si>
    <t>(1024*(1+15*2^-52))-1024</t>
  </si>
  <si>
    <t>((1024*(1+15*2^-52))-1024)</t>
  </si>
  <si>
    <t>(1024*(1+16*2^-52))-1024</t>
  </si>
  <si>
    <t>((1024*(1+16*2^-52))-1024)</t>
  </si>
  <si>
    <t>(1024*(1+17*2^-52))-1024</t>
  </si>
  <si>
    <t>((1024*(1+17*2^-52))-1024)</t>
  </si>
  <si>
    <t>(1024*(1+31*2^-52))-1024</t>
  </si>
  <si>
    <t>((1024*(1+31*2^-52))-1024)</t>
  </si>
  <si>
    <t>(1024*(1+32*2^-52))-1024</t>
  </si>
  <si>
    <t>((1024*(1+32*2^-52))-1024)</t>
  </si>
  <si>
    <t>(0.0001*(1+1*2^-52))-0.0001</t>
  </si>
  <si>
    <t>((0.0001*(1+1*2^-52))-0.0001)</t>
  </si>
  <si>
    <t>(0.0001*(1+2*2^-52))-0.0001</t>
  </si>
  <si>
    <t>((0.0001*(1+2*2^-52))-0.0001)</t>
  </si>
  <si>
    <t>(0.0001*(1+3*2^-52))-0.0001</t>
  </si>
  <si>
    <t>((0.0001*(1+3*2^-52))-0.0001)</t>
  </si>
  <si>
    <t>(0.0001*(1+4*2^-52))-0.0001</t>
  </si>
  <si>
    <t>((0.0001*(1+4*2^-52))-0.0001)</t>
  </si>
  <si>
    <t>(0.0001*(1+7*2^-52))-0.0001</t>
  </si>
  <si>
    <t>((0.0001*(1+7*2^-52))-0.0001)</t>
  </si>
  <si>
    <t>(0.0001*(1+8*2^-52))-0.0001</t>
  </si>
  <si>
    <t>((0.0001*(1+8*2^-52))-0.0001)</t>
  </si>
  <si>
    <t>(0.0001*(1+9*2^-52))-0.0001</t>
  </si>
  <si>
    <t>((0.0001*(1+9*2^-52))-0.0001)</t>
  </si>
  <si>
    <t>(0.0001*(1+10*2^-52))-0.0001</t>
  </si>
  <si>
    <t>((0.0001*(1+10*2^-52))-0.0001)</t>
  </si>
  <si>
    <t>(0.0001*(1+15*2^-52))-0.0001</t>
  </si>
  <si>
    <t>((0.0001*(1+15*2^-52))-0.0001)</t>
  </si>
  <si>
    <t>(0.0001*(1+16*2^-52))-0.0001</t>
  </si>
  <si>
    <t>((0.0001*(1+16*2^-52))-0.0001)</t>
  </si>
  <si>
    <t>(0.0001*(1+17*2^-52))-0.0001</t>
  </si>
  <si>
    <t>((0.0001*(1+17*2^-52))-0.0001)</t>
  </si>
  <si>
    <t>(0.0001*(1+31*2^-52))-0.0001</t>
  </si>
  <si>
    <t>((0.0001*(1+31*2^-52))-0.0001)</t>
  </si>
  <si>
    <t>(0.0001*(1+32*2^-52))-0.0001</t>
  </si>
  <si>
    <t>((0.0001*(1+32*2^-52))-0.0001)</t>
  </si>
  <si>
    <t>LEFT("B20",1)&amp;(1+1)</t>
  </si>
  <si>
    <t>RIGHT("ABC",2)</t>
  </si>
  <si>
    <t>MID("ABCDE",2,3)</t>
  </si>
  <si>
    <t>UPPER("Abc")</t>
  </si>
  <si>
    <t>LOWER("AbC")</t>
  </si>
  <si>
    <t>TRIM("  a  b  ")</t>
  </si>
  <si>
    <t>LEN("中文")</t>
  </si>
  <si>
    <t>CONCATENATE("B",2)</t>
  </si>
  <si>
    <t>INDIRECT("A"&amp;2)</t>
  </si>
  <si>
    <t>INDIRECT(LEFT("Axxx",1)&amp;2)</t>
  </si>
  <si>
    <t>ROUNDUP(-2.71,1)</t>
  </si>
  <si>
    <t>ROUNDDOWN(-2.79,1)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</si>
</sst>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"/>
  <sheetViews>
    <sheetView tabSelected="1" workbookViewId="0">
      <selection activeCell="G1" sqref="G1:G80"/>
    </sheetView>
  </sheetViews>
  <sheetFormatPr baseColWidth="10" defaultColWidth="8.83203125" defaultRowHeight="15" x14ac:dyDescent="0.2"/>
  <sheetData>
    <row r="1" spans="1:7" x14ac:dyDescent="0.2">
      <c r="A1">
        <v>0.1</v>
      </c>
      <c r="D1">
        <f>A1+A2</f>
        <v>0.30000000000000004</v>
      </c>
      <c r="E1" t="s">
        <v>0</v>
      </c>
      <c r="G1">
        <f>1-(1-1*2^-53)</f>
        <v>0</v>
      </c>
    </row>
    <row r="2" spans="1:7" x14ac:dyDescent="0.2">
      <c r="A2">
        <v>0.2</v>
      </c>
      <c r="D2">
        <f>A3-A2</f>
        <v>9.9999999999999978E-2</v>
      </c>
      <c r="E2" t="s">
        <v>1</v>
      </c>
      <c r="G2">
        <f>(1-(1-1*2^-53))</f>
        <v>1.1102230246251565E-16</v>
      </c>
    </row>
    <row r="3" spans="1:7" x14ac:dyDescent="0.2">
      <c r="A3">
        <v>0.3</v>
      </c>
      <c r="D3">
        <f>A1+A2-A3</f>
        <v>0</v>
      </c>
      <c r="E3" t="s">
        <v>2</v>
      </c>
      <c r="G3">
        <f>(1-1*2^-53)-1</f>
        <v>0</v>
      </c>
    </row>
    <row r="4" spans="1:7" x14ac:dyDescent="0.2">
      <c r="D4">
        <f>(A1+A2-A3)</f>
        <v>5.5511151231257827E-17</v>
      </c>
      <c r="E4" t="s">
        <v>3</v>
      </c>
      <c r="G4">
        <f>((1-1*2^-53)-1)</f>
        <v>-1.1102230246251565E-16</v>
      </c>
    </row>
    <row r="5" spans="1:7" x14ac:dyDescent="0.2">
      <c r="D5">
        <f>(A1+A2)-A3</f>
        <v>0</v>
      </c>
      <c r="E5" t="s">
        <v>4</v>
      </c>
      <c r="G5">
        <f>-1+(1-1*2^-53)</f>
        <v>0</v>
      </c>
    </row>
    <row r="6" spans="1:7" x14ac:dyDescent="0.2">
      <c r="D6">
        <f>(A1+A2-A3)*1</f>
        <v>5.5511151231257827E-17</v>
      </c>
      <c r="E6" t="s">
        <v>5</v>
      </c>
      <c r="G6">
        <f>(-1+(1-1*2^-53))</f>
        <v>-1.1102230246251565E-16</v>
      </c>
    </row>
    <row r="7" spans="1:7" x14ac:dyDescent="0.2">
      <c r="D7">
        <f>IF(TRUE,A1+A2-A3,1)</f>
        <v>5.5511151231257827E-17</v>
      </c>
      <c r="E7" t="s">
        <v>6</v>
      </c>
      <c r="G7">
        <f>(-1+1*2^-53)+1</f>
        <v>0</v>
      </c>
    </row>
    <row r="8" spans="1:7" x14ac:dyDescent="0.2">
      <c r="D8">
        <f>SUM(A1+A2-A3)</f>
        <v>5.5511151231257827E-17</v>
      </c>
      <c r="E8" t="s">
        <v>7</v>
      </c>
      <c r="G8">
        <f>((-1+1*2^-53)+1)</f>
        <v>1.1102230246251565E-16</v>
      </c>
    </row>
    <row r="9" spans="1:7" x14ac:dyDescent="0.2">
      <c r="D9">
        <f>1-(1+2^-52)</f>
        <v>0</v>
      </c>
      <c r="E9" t="s">
        <v>8</v>
      </c>
      <c r="G9">
        <f>1-(1-2*2^-53)</f>
        <v>0</v>
      </c>
    </row>
    <row r="10" spans="1:7" x14ac:dyDescent="0.2">
      <c r="D10">
        <f>(1-(1+2^-52))</f>
        <v>-2.2204460492503131E-16</v>
      </c>
      <c r="E10" t="s">
        <v>9</v>
      </c>
      <c r="G10">
        <f>(1-(1-2*2^-53))</f>
        <v>2.2204460492503131E-16</v>
      </c>
    </row>
    <row r="11" spans="1:7" x14ac:dyDescent="0.2">
      <c r="D11">
        <f>1+(-1-2^-52)</f>
        <v>0</v>
      </c>
      <c r="E11" t="s">
        <v>10</v>
      </c>
      <c r="G11">
        <f>(1-2*2^-53)-1</f>
        <v>0</v>
      </c>
    </row>
    <row r="12" spans="1:7" x14ac:dyDescent="0.2">
      <c r="D12">
        <f>(1+(-1-2^-52))</f>
        <v>-2.2204460492503131E-16</v>
      </c>
      <c r="E12" t="s">
        <v>11</v>
      </c>
      <c r="G12">
        <f>((1-2*2^-53)-1)</f>
        <v>-2.2204460492503131E-16</v>
      </c>
    </row>
    <row r="13" spans="1:7" x14ac:dyDescent="0.2">
      <c r="D13">
        <f>(1*(1+1*2^-52))-1</f>
        <v>0</v>
      </c>
      <c r="E13" t="s">
        <v>12</v>
      </c>
      <c r="G13">
        <f>-1+(1-2*2^-53)</f>
        <v>0</v>
      </c>
    </row>
    <row r="14" spans="1:7" x14ac:dyDescent="0.2">
      <c r="D14">
        <f>((1*(1+1*2^-52))-1)</f>
        <v>2.2204460492503131E-16</v>
      </c>
      <c r="E14" t="s">
        <v>13</v>
      </c>
      <c r="G14">
        <f>(-1+(1-2*2^-53))</f>
        <v>-2.2204460492503131E-16</v>
      </c>
    </row>
    <row r="15" spans="1:7" x14ac:dyDescent="0.2">
      <c r="D15">
        <f>(1*(1+2*2^-52))-1</f>
        <v>0</v>
      </c>
      <c r="E15" t="s">
        <v>14</v>
      </c>
      <c r="G15">
        <f>(-1+2*2^-53)+1</f>
        <v>0</v>
      </c>
    </row>
    <row r="16" spans="1:7" x14ac:dyDescent="0.2">
      <c r="D16">
        <f>((1*(1+2*2^-52))-1)</f>
        <v>4.4408920985006262E-16</v>
      </c>
      <c r="E16" t="s">
        <v>15</v>
      </c>
      <c r="G16">
        <f>((-1+2*2^-53)+1)</f>
        <v>2.2204460492503131E-16</v>
      </c>
    </row>
    <row r="17" spans="4:7" x14ac:dyDescent="0.2">
      <c r="D17">
        <f>(1*(1+3*2^-52))-1</f>
        <v>0</v>
      </c>
      <c r="E17" t="s">
        <v>16</v>
      </c>
      <c r="G17">
        <f>1-(1-3*2^-53)</f>
        <v>0</v>
      </c>
    </row>
    <row r="18" spans="4:7" x14ac:dyDescent="0.2">
      <c r="D18">
        <f>((1*(1+3*2^-52))-1)</f>
        <v>6.6613381477509392E-16</v>
      </c>
      <c r="E18" t="s">
        <v>17</v>
      </c>
      <c r="G18">
        <f>(1-(1-3*2^-53))</f>
        <v>3.3306690738754696E-16</v>
      </c>
    </row>
    <row r="19" spans="4:7" x14ac:dyDescent="0.2">
      <c r="D19">
        <f>(1*(1+4*2^-52))-1</f>
        <v>0</v>
      </c>
      <c r="E19" t="s">
        <v>18</v>
      </c>
      <c r="G19">
        <f>(1-3*2^-53)-1</f>
        <v>0</v>
      </c>
    </row>
    <row r="20" spans="4:7" x14ac:dyDescent="0.2">
      <c r="D20">
        <f>((1*(1+4*2^-52))-1)</f>
        <v>8.8817841970012523E-16</v>
      </c>
      <c r="E20" t="s">
        <v>19</v>
      </c>
      <c r="G20">
        <f>((1-3*2^-53)-1)</f>
        <v>-3.3306690738754696E-16</v>
      </c>
    </row>
    <row r="21" spans="4:7" x14ac:dyDescent="0.2">
      <c r="D21">
        <f>(1*(1+7*2^-52))-1</f>
        <v>0</v>
      </c>
      <c r="E21" t="s">
        <v>20</v>
      </c>
      <c r="G21">
        <f>-1+(1-3*2^-53)</f>
        <v>0</v>
      </c>
    </row>
    <row r="22" spans="4:7" x14ac:dyDescent="0.2">
      <c r="D22">
        <f>((1*(1+7*2^-52))-1)</f>
        <v>1.5543122344752192E-15</v>
      </c>
      <c r="E22" t="s">
        <v>21</v>
      </c>
      <c r="G22">
        <f>(-1+(1-3*2^-53))</f>
        <v>-3.3306690738754696E-16</v>
      </c>
    </row>
    <row r="23" spans="4:7" x14ac:dyDescent="0.2">
      <c r="D23">
        <f>(1*(1+8*2^-52))-1</f>
        <v>1.7763568394002505E-15</v>
      </c>
      <c r="E23" t="s">
        <v>22</v>
      </c>
      <c r="G23">
        <f>(-1+3*2^-53)+1</f>
        <v>0</v>
      </c>
    </row>
    <row r="24" spans="4:7" x14ac:dyDescent="0.2">
      <c r="D24">
        <f>((1*(1+8*2^-52))-1)</f>
        <v>1.7763568394002505E-15</v>
      </c>
      <c r="E24" t="s">
        <v>23</v>
      </c>
      <c r="G24">
        <f>((-1+3*2^-53)+1)</f>
        <v>3.3306690738754696E-16</v>
      </c>
    </row>
    <row r="25" spans="4:7" x14ac:dyDescent="0.2">
      <c r="D25">
        <f>(1*(1+9*2^-52))-1</f>
        <v>1.9984014443252818E-15</v>
      </c>
      <c r="E25" t="s">
        <v>24</v>
      </c>
      <c r="G25">
        <f>1-(1-4*2^-53)</f>
        <v>0</v>
      </c>
    </row>
    <row r="26" spans="4:7" x14ac:dyDescent="0.2">
      <c r="D26">
        <f>((1*(1+9*2^-52))-1)</f>
        <v>1.9984014443252818E-15</v>
      </c>
      <c r="E26" t="s">
        <v>25</v>
      </c>
      <c r="G26">
        <f>(1-(1-4*2^-53))</f>
        <v>4.4408920985006262E-16</v>
      </c>
    </row>
    <row r="27" spans="4:7" x14ac:dyDescent="0.2">
      <c r="D27">
        <f>(1*(1+10*2^-52))-1</f>
        <v>2.2204460492503131E-15</v>
      </c>
      <c r="E27" t="s">
        <v>26</v>
      </c>
      <c r="G27">
        <f>(1-4*2^-53)-1</f>
        <v>0</v>
      </c>
    </row>
    <row r="28" spans="4:7" x14ac:dyDescent="0.2">
      <c r="D28">
        <f>((1*(1+10*2^-52))-1)</f>
        <v>2.2204460492503131E-15</v>
      </c>
      <c r="E28" t="s">
        <v>27</v>
      </c>
      <c r="G28">
        <f>((1-4*2^-53)-1)</f>
        <v>-4.4408920985006262E-16</v>
      </c>
    </row>
    <row r="29" spans="4:7" x14ac:dyDescent="0.2">
      <c r="D29">
        <f>(1*(1+15*2^-52))-1</f>
        <v>3.3306690738754696E-15</v>
      </c>
      <c r="E29" t="s">
        <v>28</v>
      </c>
      <c r="G29">
        <f>-1+(1-4*2^-53)</f>
        <v>0</v>
      </c>
    </row>
    <row r="30" spans="4:7" x14ac:dyDescent="0.2">
      <c r="D30">
        <f>((1*(1+15*2^-52))-1)</f>
        <v>3.3306690738754696E-15</v>
      </c>
      <c r="E30" t="s">
        <v>29</v>
      </c>
      <c r="G30">
        <f>(-1+(1-4*2^-53))</f>
        <v>-4.4408920985006262E-16</v>
      </c>
    </row>
    <row r="31" spans="4:7" x14ac:dyDescent="0.2">
      <c r="D31">
        <f>(1*(1+16*2^-52))-1</f>
        <v>3.5527136788005009E-15</v>
      </c>
      <c r="E31" t="s">
        <v>30</v>
      </c>
      <c r="G31">
        <f>(-1+4*2^-53)+1</f>
        <v>0</v>
      </c>
    </row>
    <row r="32" spans="4:7" x14ac:dyDescent="0.2">
      <c r="D32">
        <f>((1*(1+16*2^-52))-1)</f>
        <v>3.5527136788005009E-15</v>
      </c>
      <c r="E32" t="s">
        <v>31</v>
      </c>
      <c r="G32">
        <f>((-1+4*2^-53)+1)</f>
        <v>4.4408920985006262E-16</v>
      </c>
    </row>
    <row r="33" spans="4:7" x14ac:dyDescent="0.2">
      <c r="D33">
        <f>(1*(1+17*2^-52))-1</f>
        <v>3.7747582837255322E-15</v>
      </c>
      <c r="E33" t="s">
        <v>32</v>
      </c>
      <c r="G33">
        <f>1-(1-7*2^-53)</f>
        <v>0</v>
      </c>
    </row>
    <row r="34" spans="4:7" x14ac:dyDescent="0.2">
      <c r="D34">
        <f>((1*(1+17*2^-52))-1)</f>
        <v>3.7747582837255322E-15</v>
      </c>
      <c r="E34" t="s">
        <v>33</v>
      </c>
      <c r="G34">
        <f>(1-(1-7*2^-53))</f>
        <v>7.7715611723760958E-16</v>
      </c>
    </row>
    <row r="35" spans="4:7" x14ac:dyDescent="0.2">
      <c r="D35">
        <f>(1*(1+31*2^-52))-1</f>
        <v>6.8833827526759706E-15</v>
      </c>
      <c r="E35" t="s">
        <v>34</v>
      </c>
      <c r="G35">
        <f>(1-7*2^-53)-1</f>
        <v>0</v>
      </c>
    </row>
    <row r="36" spans="4:7" x14ac:dyDescent="0.2">
      <c r="D36">
        <f>((1*(1+31*2^-52))-1)</f>
        <v>6.8833827526759706E-15</v>
      </c>
      <c r="E36" t="s">
        <v>35</v>
      </c>
      <c r="G36">
        <f>((1-7*2^-53)-1)</f>
        <v>-7.7715611723760958E-16</v>
      </c>
    </row>
    <row r="37" spans="4:7" x14ac:dyDescent="0.2">
      <c r="D37">
        <f>(1*(1+32*2^-52))-1</f>
        <v>7.1054273576010019E-15</v>
      </c>
      <c r="E37" t="s">
        <v>36</v>
      </c>
      <c r="G37">
        <f>-1+(1-7*2^-53)</f>
        <v>0</v>
      </c>
    </row>
    <row r="38" spans="4:7" x14ac:dyDescent="0.2">
      <c r="D38">
        <f>((1*(1+32*2^-52))-1)</f>
        <v>7.1054273576010019E-15</v>
      </c>
      <c r="E38" t="s">
        <v>37</v>
      </c>
      <c r="G38">
        <f>(-1+(1-7*2^-53))</f>
        <v>-7.7715611723760958E-16</v>
      </c>
    </row>
    <row r="39" spans="4:7" x14ac:dyDescent="0.2">
      <c r="D39">
        <f>(0.3*(1+1*2^-52))-0.3</f>
        <v>0</v>
      </c>
      <c r="E39" t="s">
        <v>38</v>
      </c>
      <c r="G39">
        <f>(-1+7*2^-53)+1</f>
        <v>0</v>
      </c>
    </row>
    <row r="40" spans="4:7" x14ac:dyDescent="0.2">
      <c r="D40">
        <f>((0.3*(1+1*2^-52))-0.3)</f>
        <v>5.5511151231257827E-17</v>
      </c>
      <c r="E40" t="s">
        <v>39</v>
      </c>
      <c r="G40">
        <f>((-1+7*2^-53)+1)</f>
        <v>7.7715611723760958E-16</v>
      </c>
    </row>
    <row r="41" spans="4:7" x14ac:dyDescent="0.2">
      <c r="D41">
        <f>(0.3*(1+2*2^-52))-0.3</f>
        <v>0</v>
      </c>
      <c r="E41" t="s">
        <v>40</v>
      </c>
      <c r="G41">
        <f>1-(1-8*2^-53)</f>
        <v>0</v>
      </c>
    </row>
    <row r="42" spans="4:7" x14ac:dyDescent="0.2">
      <c r="D42">
        <f>((0.3*(1+2*2^-52))-0.3)</f>
        <v>1.1102230246251565E-16</v>
      </c>
      <c r="E42" t="s">
        <v>41</v>
      </c>
      <c r="G42">
        <f>(1-(1-8*2^-53))</f>
        <v>8.8817841970012523E-16</v>
      </c>
    </row>
    <row r="43" spans="4:7" x14ac:dyDescent="0.2">
      <c r="D43">
        <f>(0.3*(1+3*2^-52))-0.3</f>
        <v>0</v>
      </c>
      <c r="E43" t="s">
        <v>42</v>
      </c>
      <c r="G43">
        <f>(1-8*2^-53)-1</f>
        <v>-8.8817841970012523E-16</v>
      </c>
    </row>
    <row r="44" spans="4:7" x14ac:dyDescent="0.2">
      <c r="D44">
        <f>((0.3*(1+3*2^-52))-0.3)</f>
        <v>2.2204460492503131E-16</v>
      </c>
      <c r="E44" t="s">
        <v>43</v>
      </c>
      <c r="G44">
        <f>((1-8*2^-53)-1)</f>
        <v>-8.8817841970012523E-16</v>
      </c>
    </row>
    <row r="45" spans="4:7" x14ac:dyDescent="0.2">
      <c r="D45">
        <f>(0.3*(1+4*2^-52))-0.3</f>
        <v>0</v>
      </c>
      <c r="E45" t="s">
        <v>44</v>
      </c>
      <c r="G45">
        <f>-1+(1-8*2^-53)</f>
        <v>0</v>
      </c>
    </row>
    <row r="46" spans="4:7" x14ac:dyDescent="0.2">
      <c r="D46">
        <f>((0.3*(1+4*2^-52))-0.3)</f>
        <v>2.7755575615628914E-16</v>
      </c>
      <c r="E46" t="s">
        <v>45</v>
      </c>
      <c r="G46">
        <f>(-1+(1-8*2^-53))</f>
        <v>-8.8817841970012523E-16</v>
      </c>
    </row>
    <row r="47" spans="4:7" x14ac:dyDescent="0.2">
      <c r="D47">
        <f>(0.3*(1+7*2^-52))-0.3</f>
        <v>4.4408920985006262E-16</v>
      </c>
      <c r="E47" t="s">
        <v>46</v>
      </c>
      <c r="G47">
        <f>(-1+8*2^-53)+1</f>
        <v>8.8817841970012523E-16</v>
      </c>
    </row>
    <row r="48" spans="4:7" x14ac:dyDescent="0.2">
      <c r="D48">
        <f>((0.3*(1+7*2^-52))-0.3)</f>
        <v>4.4408920985006262E-16</v>
      </c>
      <c r="E48" t="s">
        <v>47</v>
      </c>
      <c r="G48">
        <f>((-1+8*2^-53)+1)</f>
        <v>8.8817841970012523E-16</v>
      </c>
    </row>
    <row r="49" spans="4:7" x14ac:dyDescent="0.2">
      <c r="D49">
        <f>(0.3*(1+8*2^-52))-0.3</f>
        <v>5.5511151231257827E-16</v>
      </c>
      <c r="E49" t="s">
        <v>48</v>
      </c>
      <c r="G49">
        <f>1-(1-9*2^-53)</f>
        <v>0</v>
      </c>
    </row>
    <row r="50" spans="4:7" x14ac:dyDescent="0.2">
      <c r="D50">
        <f>((0.3*(1+8*2^-52))-0.3)</f>
        <v>5.5511151231257827E-16</v>
      </c>
      <c r="E50" t="s">
        <v>49</v>
      </c>
      <c r="G50">
        <f>(1-(1-9*2^-53))</f>
        <v>9.9920072216264089E-16</v>
      </c>
    </row>
    <row r="51" spans="4:7" x14ac:dyDescent="0.2">
      <c r="D51">
        <f>(0.3*(1+9*2^-52))-0.3</f>
        <v>6.106226635438361E-16</v>
      </c>
      <c r="E51" t="s">
        <v>50</v>
      </c>
      <c r="G51">
        <f>(1-9*2^-53)-1</f>
        <v>-9.9920072216264089E-16</v>
      </c>
    </row>
    <row r="52" spans="4:7" x14ac:dyDescent="0.2">
      <c r="D52">
        <f>((0.3*(1+9*2^-52))-0.3)</f>
        <v>6.106226635438361E-16</v>
      </c>
      <c r="E52" t="s">
        <v>51</v>
      </c>
      <c r="G52">
        <f>((1-9*2^-53)-1)</f>
        <v>-9.9920072216264089E-16</v>
      </c>
    </row>
    <row r="53" spans="4:7" x14ac:dyDescent="0.2">
      <c r="D53">
        <f>(0.3*(1+10*2^-52))-0.3</f>
        <v>6.6613381477509392E-16</v>
      </c>
      <c r="E53" t="s">
        <v>52</v>
      </c>
      <c r="G53">
        <f>-1+(1-9*2^-53)</f>
        <v>0</v>
      </c>
    </row>
    <row r="54" spans="4:7" x14ac:dyDescent="0.2">
      <c r="D54">
        <f>((0.3*(1+10*2^-52))-0.3)</f>
        <v>6.6613381477509392E-16</v>
      </c>
      <c r="E54" t="s">
        <v>53</v>
      </c>
      <c r="G54">
        <f>(-1+(1-9*2^-53))</f>
        <v>-9.9920072216264089E-16</v>
      </c>
    </row>
    <row r="55" spans="4:7" x14ac:dyDescent="0.2">
      <c r="D55">
        <f>(0.3*(1+15*2^-52))-0.3</f>
        <v>9.9920072216264089E-16</v>
      </c>
      <c r="E55" t="s">
        <v>54</v>
      </c>
      <c r="G55">
        <f>(-1+9*2^-53)+1</f>
        <v>9.9920072216264089E-16</v>
      </c>
    </row>
    <row r="56" spans="4:7" x14ac:dyDescent="0.2">
      <c r="D56">
        <f>((0.3*(1+15*2^-52))-0.3)</f>
        <v>9.9920072216264089E-16</v>
      </c>
      <c r="E56" t="s">
        <v>55</v>
      </c>
      <c r="G56">
        <f>((-1+9*2^-53)+1)</f>
        <v>9.9920072216264089E-16</v>
      </c>
    </row>
    <row r="57" spans="4:7" x14ac:dyDescent="0.2">
      <c r="D57">
        <f>(0.3*(1+16*2^-52))-0.3</f>
        <v>1.0547118733938987E-15</v>
      </c>
      <c r="E57" t="s">
        <v>56</v>
      </c>
      <c r="G57">
        <f>1-(1-15*2^-53)</f>
        <v>0</v>
      </c>
    </row>
    <row r="58" spans="4:7" x14ac:dyDescent="0.2">
      <c r="D58">
        <f>((0.3*(1+16*2^-52))-0.3)</f>
        <v>1.0547118733938987E-15</v>
      </c>
      <c r="E58" t="s">
        <v>57</v>
      </c>
      <c r="G58">
        <f>(1-(1-15*2^-53))</f>
        <v>1.6653345369377348E-15</v>
      </c>
    </row>
    <row r="59" spans="4:7" x14ac:dyDescent="0.2">
      <c r="D59">
        <f>(0.3*(1+17*2^-52))-0.3</f>
        <v>1.1102230246251565E-15</v>
      </c>
      <c r="E59" t="s">
        <v>58</v>
      </c>
      <c r="G59">
        <f>(1-15*2^-53)-1</f>
        <v>-1.6653345369377348E-15</v>
      </c>
    </row>
    <row r="60" spans="4:7" x14ac:dyDescent="0.2">
      <c r="D60">
        <f>((0.3*(1+17*2^-52))-0.3)</f>
        <v>1.1102230246251565E-15</v>
      </c>
      <c r="E60" t="s">
        <v>59</v>
      </c>
      <c r="G60">
        <f>((1-15*2^-53)-1)</f>
        <v>-1.6653345369377348E-15</v>
      </c>
    </row>
    <row r="61" spans="4:7" x14ac:dyDescent="0.2">
      <c r="D61">
        <f>(0.3*(1+31*2^-52))-0.3</f>
        <v>2.0539125955565396E-15</v>
      </c>
      <c r="E61" t="s">
        <v>60</v>
      </c>
      <c r="G61">
        <f>-1+(1-15*2^-53)</f>
        <v>0</v>
      </c>
    </row>
    <row r="62" spans="4:7" x14ac:dyDescent="0.2">
      <c r="D62">
        <f>((0.3*(1+31*2^-52))-0.3)</f>
        <v>2.0539125955565396E-15</v>
      </c>
      <c r="E62" t="s">
        <v>61</v>
      </c>
      <c r="G62">
        <f>(-1+(1-15*2^-53))</f>
        <v>-1.6653345369377348E-15</v>
      </c>
    </row>
    <row r="63" spans="4:7" x14ac:dyDescent="0.2">
      <c r="D63">
        <f>(0.3*(1+32*2^-52))-0.3</f>
        <v>2.1094237467877974E-15</v>
      </c>
      <c r="E63" t="s">
        <v>62</v>
      </c>
      <c r="G63">
        <f>(-1+15*2^-53)+1</f>
        <v>1.6653345369377348E-15</v>
      </c>
    </row>
    <row r="64" spans="4:7" x14ac:dyDescent="0.2">
      <c r="D64">
        <f>((0.3*(1+32*2^-52))-0.3)</f>
        <v>2.1094237467877974E-15</v>
      </c>
      <c r="E64" t="s">
        <v>63</v>
      </c>
      <c r="G64">
        <f>((-1+15*2^-53)+1)</f>
        <v>1.6653345369377348E-15</v>
      </c>
    </row>
    <row r="65" spans="4:7" x14ac:dyDescent="0.2">
      <c r="D65">
        <f>(1024*(1+1*2^-52))-1024</f>
        <v>0</v>
      </c>
      <c r="E65" t="s">
        <v>64</v>
      </c>
      <c r="G65">
        <f>1-(1-16*2^-53)</f>
        <v>1.7763568394002505E-15</v>
      </c>
    </row>
    <row r="66" spans="4:7" x14ac:dyDescent="0.2">
      <c r="D66">
        <f>((1024*(1+1*2^-52))-1024)</f>
        <v>2.2737367544323206E-13</v>
      </c>
      <c r="E66" t="s">
        <v>65</v>
      </c>
      <c r="G66">
        <f>(1-(1-16*2^-53))</f>
        <v>1.7763568394002505E-15</v>
      </c>
    </row>
    <row r="67" spans="4:7" x14ac:dyDescent="0.2">
      <c r="D67">
        <f>(1024*(1+2*2^-52))-1024</f>
        <v>0</v>
      </c>
      <c r="E67" t="s">
        <v>66</v>
      </c>
      <c r="G67">
        <f>(1-16*2^-53)-1</f>
        <v>-1.7763568394002505E-15</v>
      </c>
    </row>
    <row r="68" spans="4:7" x14ac:dyDescent="0.2">
      <c r="D68">
        <f>((1024*(1+2*2^-52))-1024)</f>
        <v>4.5474735088646412E-13</v>
      </c>
      <c r="E68" t="s">
        <v>67</v>
      </c>
      <c r="G68">
        <f>((1-16*2^-53)-1)</f>
        <v>-1.7763568394002505E-15</v>
      </c>
    </row>
    <row r="69" spans="4:7" x14ac:dyDescent="0.2">
      <c r="D69">
        <f>(1024*(1+3*2^-52))-1024</f>
        <v>0</v>
      </c>
      <c r="E69" t="s">
        <v>68</v>
      </c>
      <c r="G69">
        <f>-1+(1-16*2^-53)</f>
        <v>-1.7763568394002505E-15</v>
      </c>
    </row>
    <row r="70" spans="4:7" x14ac:dyDescent="0.2">
      <c r="D70">
        <f>((1024*(1+3*2^-52))-1024)</f>
        <v>6.8212102632969618E-13</v>
      </c>
      <c r="E70" t="s">
        <v>69</v>
      </c>
      <c r="G70">
        <f>(-1+(1-16*2^-53))</f>
        <v>-1.7763568394002505E-15</v>
      </c>
    </row>
    <row r="71" spans="4:7" x14ac:dyDescent="0.2">
      <c r="D71">
        <f>(1024*(1+4*2^-52))-1024</f>
        <v>0</v>
      </c>
      <c r="E71" t="s">
        <v>70</v>
      </c>
      <c r="G71">
        <f>(-1+16*2^-53)+1</f>
        <v>1.7763568394002505E-15</v>
      </c>
    </row>
    <row r="72" spans="4:7" x14ac:dyDescent="0.2">
      <c r="D72">
        <f>((1024*(1+4*2^-52))-1024)</f>
        <v>9.0949470177292824E-13</v>
      </c>
      <c r="E72" t="s">
        <v>71</v>
      </c>
      <c r="G72">
        <f>((-1+16*2^-53)+1)</f>
        <v>1.7763568394002505E-15</v>
      </c>
    </row>
    <row r="73" spans="4:7" x14ac:dyDescent="0.2">
      <c r="D73">
        <f>(1024*(1+7*2^-52))-1024</f>
        <v>0</v>
      </c>
      <c r="E73" t="s">
        <v>72</v>
      </c>
      <c r="G73">
        <f>1-(1-17*2^-53)</f>
        <v>1.8873791418627661E-15</v>
      </c>
    </row>
    <row r="74" spans="4:7" x14ac:dyDescent="0.2">
      <c r="D74">
        <f>((1024*(1+7*2^-52))-1024)</f>
        <v>1.5916157281026244E-12</v>
      </c>
      <c r="E74" t="s">
        <v>73</v>
      </c>
      <c r="G74">
        <f>(1-(1-17*2^-53))</f>
        <v>1.8873791418627661E-15</v>
      </c>
    </row>
    <row r="75" spans="4:7" x14ac:dyDescent="0.2">
      <c r="D75">
        <f>(1024*(1+8*2^-52))-1024</f>
        <v>1.8189894035458565E-12</v>
      </c>
      <c r="E75" t="s">
        <v>74</v>
      </c>
      <c r="G75">
        <f>(1-17*2^-53)-1</f>
        <v>-1.8873791418627661E-15</v>
      </c>
    </row>
    <row r="76" spans="4:7" x14ac:dyDescent="0.2">
      <c r="D76">
        <f>((1024*(1+8*2^-52))-1024)</f>
        <v>1.8189894035458565E-12</v>
      </c>
      <c r="E76" t="s">
        <v>75</v>
      </c>
      <c r="G76">
        <f>((1-17*2^-53)-1)</f>
        <v>-1.8873791418627661E-15</v>
      </c>
    </row>
    <row r="77" spans="4:7" x14ac:dyDescent="0.2">
      <c r="D77">
        <f>(1024*(1+9*2^-52))-1024</f>
        <v>2.0463630789890885E-12</v>
      </c>
      <c r="E77" t="s">
        <v>76</v>
      </c>
      <c r="G77">
        <f>-1+(1-17*2^-53)</f>
        <v>-1.8873791418627661E-15</v>
      </c>
    </row>
    <row r="78" spans="4:7" x14ac:dyDescent="0.2">
      <c r="D78">
        <f>((1024*(1+9*2^-52))-1024)</f>
        <v>2.0463630789890885E-12</v>
      </c>
      <c r="E78" t="s">
        <v>77</v>
      </c>
      <c r="G78">
        <f>(-1+(1-17*2^-53))</f>
        <v>-1.8873791418627661E-15</v>
      </c>
    </row>
    <row r="79" spans="4:7" x14ac:dyDescent="0.2">
      <c r="D79">
        <f>(1024*(1+10*2^-52))-1024</f>
        <v>2.2737367544323206E-12</v>
      </c>
      <c r="E79" t="s">
        <v>78</v>
      </c>
      <c r="G79">
        <f>(-1+17*2^-53)+1</f>
        <v>1.8873791418627661E-15</v>
      </c>
    </row>
    <row r="80" spans="4:7" x14ac:dyDescent="0.2">
      <c r="D80">
        <f>((1024*(1+10*2^-52))-1024)</f>
        <v>2.2737367544323206E-12</v>
      </c>
      <c r="E80" t="s">
        <v>79</v>
      </c>
      <c r="G80">
        <f>((-1+17*2^-53)+1)</f>
        <v>1.8873791418627661E-15</v>
      </c>
    </row>
    <row r="81" spans="4:5" x14ac:dyDescent="0.2">
      <c r="D81">
        <f>(1024*(1+15*2^-52))-1024</f>
        <v>3.4106051316484809E-12</v>
      </c>
      <c r="E81" t="s">
        <v>80</v>
      </c>
    </row>
    <row r="82" spans="4:5" x14ac:dyDescent="0.2">
      <c r="D82">
        <f>((1024*(1+15*2^-52))-1024)</f>
        <v>3.4106051316484809E-12</v>
      </c>
      <c r="E82" t="s">
        <v>81</v>
      </c>
    </row>
    <row r="83" spans="4:5" x14ac:dyDescent="0.2">
      <c r="D83">
        <f>(1024*(1+16*2^-52))-1024</f>
        <v>3.637978807091713E-12</v>
      </c>
      <c r="E83" t="s">
        <v>82</v>
      </c>
    </row>
    <row r="84" spans="4:5" x14ac:dyDescent="0.2">
      <c r="D84">
        <f>((1024*(1+16*2^-52))-1024)</f>
        <v>3.637978807091713E-12</v>
      </c>
      <c r="E84" t="s">
        <v>83</v>
      </c>
    </row>
    <row r="85" spans="4:5" x14ac:dyDescent="0.2">
      <c r="D85">
        <f>(1024*(1+17*2^-52))-1024</f>
        <v>3.865352482534945E-12</v>
      </c>
      <c r="E85" t="s">
        <v>84</v>
      </c>
    </row>
    <row r="86" spans="4:5" x14ac:dyDescent="0.2">
      <c r="D86">
        <f>((1024*(1+17*2^-52))-1024)</f>
        <v>3.865352482534945E-12</v>
      </c>
      <c r="E86" t="s">
        <v>85</v>
      </c>
    </row>
    <row r="87" spans="4:5" x14ac:dyDescent="0.2">
      <c r="D87">
        <f>(1024*(1+31*2^-52))-1024</f>
        <v>7.0485839387401938E-12</v>
      </c>
      <c r="E87" t="s">
        <v>86</v>
      </c>
    </row>
    <row r="88" spans="4:5" x14ac:dyDescent="0.2">
      <c r="D88">
        <f>((1024*(1+31*2^-52))-1024)</f>
        <v>7.0485839387401938E-12</v>
      </c>
      <c r="E88" t="s">
        <v>87</v>
      </c>
    </row>
    <row r="89" spans="4:5" x14ac:dyDescent="0.2">
      <c r="D89">
        <f>(1024*(1+32*2^-52))-1024</f>
        <v>7.2759576141834259E-12</v>
      </c>
      <c r="E89" t="s">
        <v>88</v>
      </c>
    </row>
    <row r="90" spans="4:5" x14ac:dyDescent="0.2">
      <c r="D90">
        <f>((1024*(1+32*2^-52))-1024)</f>
        <v>7.2759576141834259E-12</v>
      </c>
      <c r="E90" t="s">
        <v>89</v>
      </c>
    </row>
    <row r="91" spans="4:5" x14ac:dyDescent="0.2">
      <c r="D91">
        <f>(0.0001*(1+1*2^-52))-0.0001</f>
        <v>0</v>
      </c>
      <c r="E91" t="s">
        <v>90</v>
      </c>
    </row>
    <row r="92" spans="4:5" x14ac:dyDescent="0.2">
      <c r="D92">
        <f>((0.0001*(1+1*2^-52))-0.0001)</f>
        <v>2.7105054312137611E-20</v>
      </c>
      <c r="E92" t="s">
        <v>91</v>
      </c>
    </row>
    <row r="93" spans="4:5" x14ac:dyDescent="0.2">
      <c r="D93">
        <f>(0.0001*(1+2*2^-52))-0.0001</f>
        <v>0</v>
      </c>
      <c r="E93" t="s">
        <v>92</v>
      </c>
    </row>
    <row r="94" spans="4:5" x14ac:dyDescent="0.2">
      <c r="D94">
        <f>((0.0001*(1+2*2^-52))-0.0001)</f>
        <v>4.0657581468206416E-20</v>
      </c>
      <c r="E94" t="s">
        <v>93</v>
      </c>
    </row>
    <row r="95" spans="4:5" x14ac:dyDescent="0.2">
      <c r="D95">
        <f>(0.0001*(1+3*2^-52))-0.0001</f>
        <v>0</v>
      </c>
      <c r="E95" t="s">
        <v>94</v>
      </c>
    </row>
    <row r="96" spans="4:5" x14ac:dyDescent="0.2">
      <c r="D96">
        <f>((0.0001*(1+3*2^-52))-0.0001)</f>
        <v>6.7762635780344027E-20</v>
      </c>
      <c r="E96" t="s">
        <v>95</v>
      </c>
    </row>
    <row r="97" spans="4:5" x14ac:dyDescent="0.2">
      <c r="D97">
        <f>(0.0001*(1+4*2^-52))-0.0001</f>
        <v>0</v>
      </c>
      <c r="E97" t="s">
        <v>96</v>
      </c>
    </row>
    <row r="98" spans="4:5" x14ac:dyDescent="0.2">
      <c r="D98">
        <f>((0.0001*(1+4*2^-52))-0.0001)</f>
        <v>9.4867690092481638E-20</v>
      </c>
      <c r="E98" t="s">
        <v>97</v>
      </c>
    </row>
    <row r="99" spans="4:5" x14ac:dyDescent="0.2">
      <c r="D99">
        <f>(0.0001*(1+7*2^-52))-0.0001</f>
        <v>1.4907779871675686E-19</v>
      </c>
      <c r="E99" t="s">
        <v>98</v>
      </c>
    </row>
    <row r="100" spans="4:5" x14ac:dyDescent="0.2">
      <c r="D100">
        <f>((0.0001*(1+7*2^-52))-0.0001)</f>
        <v>1.4907779871675686E-19</v>
      </c>
      <c r="E100" t="s">
        <v>99</v>
      </c>
    </row>
    <row r="101" spans="4:5" x14ac:dyDescent="0.2">
      <c r="D101">
        <f>(0.0001*(1+8*2^-52))-0.0001</f>
        <v>1.7618285302889447E-19</v>
      </c>
      <c r="E101" t="s">
        <v>100</v>
      </c>
    </row>
    <row r="102" spans="4:5" x14ac:dyDescent="0.2">
      <c r="D102">
        <f>((0.0001*(1+8*2^-52))-0.0001)</f>
        <v>1.7618285302889447E-19</v>
      </c>
      <c r="E102" t="s">
        <v>101</v>
      </c>
    </row>
    <row r="103" spans="4:5" x14ac:dyDescent="0.2">
      <c r="D103">
        <f>(0.0001*(1+9*2^-52))-0.0001</f>
        <v>2.0328790734103208E-19</v>
      </c>
      <c r="E103" t="s">
        <v>102</v>
      </c>
    </row>
    <row r="104" spans="4:5" x14ac:dyDescent="0.2">
      <c r="D104">
        <f>((0.0001*(1+9*2^-52))-0.0001)</f>
        <v>2.0328790734103208E-19</v>
      </c>
      <c r="E104" t="s">
        <v>103</v>
      </c>
    </row>
    <row r="105" spans="4:5" x14ac:dyDescent="0.2">
      <c r="D105">
        <f>(0.0001*(1+10*2^-52))-0.0001</f>
        <v>2.1684043449710089E-19</v>
      </c>
      <c r="E105" t="s">
        <v>104</v>
      </c>
    </row>
    <row r="106" spans="4:5" x14ac:dyDescent="0.2">
      <c r="D106">
        <f>((0.0001*(1+10*2^-52))-0.0001)</f>
        <v>2.1684043449710089E-19</v>
      </c>
      <c r="E106" t="s">
        <v>105</v>
      </c>
    </row>
    <row r="107" spans="4:5" x14ac:dyDescent="0.2">
      <c r="D107">
        <f>(0.0001*(1+15*2^-52))-0.0001</f>
        <v>3.3881317890172014E-19</v>
      </c>
      <c r="E107" t="s">
        <v>106</v>
      </c>
    </row>
    <row r="108" spans="4:5" x14ac:dyDescent="0.2">
      <c r="D108">
        <f>((0.0001*(1+15*2^-52))-0.0001)</f>
        <v>3.3881317890172014E-19</v>
      </c>
      <c r="E108" t="s">
        <v>107</v>
      </c>
    </row>
    <row r="109" spans="4:5" x14ac:dyDescent="0.2">
      <c r="D109">
        <f>(0.0001*(1+16*2^-52))-0.0001</f>
        <v>3.5236570605778894E-19</v>
      </c>
      <c r="E109" t="s">
        <v>108</v>
      </c>
    </row>
    <row r="110" spans="4:5" x14ac:dyDescent="0.2">
      <c r="D110">
        <f>((0.0001*(1+16*2^-52))-0.0001)</f>
        <v>3.5236570605778894E-19</v>
      </c>
      <c r="E110" t="s">
        <v>109</v>
      </c>
    </row>
    <row r="111" spans="4:5" x14ac:dyDescent="0.2">
      <c r="D111">
        <f>(0.0001*(1+17*2^-52))-0.0001</f>
        <v>3.7947076036992655E-19</v>
      </c>
      <c r="E111" t="s">
        <v>110</v>
      </c>
    </row>
    <row r="112" spans="4:5" x14ac:dyDescent="0.2">
      <c r="D112">
        <f>((0.0001*(1+17*2^-52))-0.0001)</f>
        <v>3.7947076036992655E-19</v>
      </c>
      <c r="E112" t="s">
        <v>111</v>
      </c>
    </row>
    <row r="113" spans="4:5" x14ac:dyDescent="0.2">
      <c r="D113">
        <f>(0.0001*(1+31*2^-52))-0.0001</f>
        <v>6.9117888495950908E-19</v>
      </c>
      <c r="E113" t="s">
        <v>112</v>
      </c>
    </row>
    <row r="114" spans="4:5" x14ac:dyDescent="0.2">
      <c r="D114">
        <f>((0.0001*(1+31*2^-52))-0.0001)</f>
        <v>6.9117888495950908E-19</v>
      </c>
      <c r="E114" t="s">
        <v>113</v>
      </c>
    </row>
    <row r="115" spans="4:5" x14ac:dyDescent="0.2">
      <c r="D115">
        <f>(0.0001*(1+32*2^-52))-0.0001</f>
        <v>7.0473141211557788E-19</v>
      </c>
      <c r="E115" t="s">
        <v>114</v>
      </c>
    </row>
    <row r="116" spans="4:5" x14ac:dyDescent="0.2">
      <c r="D116">
        <f>((0.0001*(1+32*2^-52))-0.0001)</f>
        <v>7.0473141211557788E-19</v>
      </c>
      <c r="E116" t="s">
        <v>115</v>
      </c>
    </row>
    <row r="117" spans="4:5" x14ac:dyDescent="0.2">
      <c r="D117" t="str">
        <f>LEFT("B20",1)&amp;(1+1)</f>
        <v>B2</v>
      </c>
      <c r="E117" t="s">
        <v>116</v>
      </c>
    </row>
    <row r="118" spans="4:5" x14ac:dyDescent="0.2">
      <c r="D118" t="str">
        <f>RIGHT("ABC",2)</f>
        <v>BC</v>
      </c>
      <c r="E118" t="s">
        <v>117</v>
      </c>
    </row>
    <row r="119" spans="4:5" x14ac:dyDescent="0.2">
      <c r="D119" t="str">
        <f>MID("ABCDE",2,3)</f>
        <v>BCD</v>
      </c>
      <c r="E119" t="s">
        <v>118</v>
      </c>
    </row>
    <row r="120" spans="4:5" x14ac:dyDescent="0.2">
      <c r="D120" t="str">
        <f>UPPER("Abc")</f>
        <v>ABC</v>
      </c>
      <c r="E120" t="s">
        <v>119</v>
      </c>
    </row>
    <row r="121" spans="4:5" x14ac:dyDescent="0.2">
      <c r="D121" t="str">
        <f>LOWER("AbC")</f>
        <v>abc</v>
      </c>
      <c r="E121" t="s">
        <v>120</v>
      </c>
    </row>
    <row r="122" spans="4:5" x14ac:dyDescent="0.2">
      <c r="D122" t="str">
        <f>TRIM("  a  b  ")</f>
        <v>a b</v>
      </c>
      <c r="E122" t="s">
        <v>121</v>
      </c>
    </row>
    <row r="123" spans="4:5" x14ac:dyDescent="0.2">
      <c r="D123">
        <f>LEN("中文")</f>
        <v>2</v>
      </c>
      <c r="E123" t="s">
        <v>122</v>
      </c>
    </row>
    <row r="124" spans="4:5" x14ac:dyDescent="0.2">
      <c r="D124" t="str">
        <f>CONCATENATE("B",2)</f>
        <v>B2</v>
      </c>
      <c r="E124" t="s">
        <v>123</v>
      </c>
    </row>
    <row r="125" spans="4:5" x14ac:dyDescent="0.2">
      <c r="D125">
        <f ca="1">INDIRECT("A"&amp;2)</f>
        <v>0.2</v>
      </c>
      <c r="E125" t="s">
        <v>124</v>
      </c>
    </row>
    <row r="126" spans="4:5" x14ac:dyDescent="0.2">
      <c r="D126">
        <f ca="1">INDIRECT(LEFT("Axxx",1)&amp;2)</f>
        <v>0.2</v>
      </c>
      <c r="E126" t="s">
        <v>125</v>
      </c>
    </row>
    <row r="127" spans="4:5" x14ac:dyDescent="0.2">
      <c r="D127">
        <f>ROUNDUP(-2.71,1)</f>
        <v>-2.8000000000000003</v>
      </c>
      <c r="E127" t="s">
        <v>126</v>
      </c>
    </row>
    <row r="128" spans="4:5" x14ac:dyDescent="0.2">
      <c r="D128">
        <f>ROUNDDOWN(-2.79,1)</f>
        <v>-2.7</v>
      </c>
      <c r="E128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u3683155@connect.hku.hk</cp:lastModifiedBy>
  <dcterms:created xsi:type="dcterms:W3CDTF">2026-09-28T07:24:25Z</dcterms:created>
  <dcterms:modified xsi:type="dcterms:W3CDTF">2026-09-28T07:33:11Z</dcterms:modified>
</cp:coreProperties>
</file>