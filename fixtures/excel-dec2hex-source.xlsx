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Cases" sheetId="1" r:id="rId1"/>
  </sheets>
  <definedNames>
    <definedName name="InputNumber">Cases!$B$1</definedName>
  </definedNames>
  <calcPr calcId="0" fullCalcOnLoad="1" forceFullCalc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164"/>
  <sheetViews>
    <sheetView workbookViewId="0"/>
  </sheetViews>
  <cols>
    <col min="1" max="1" width="48" customWidth="1"/>
    <col min="2" max="15" width="18" customWidth="1"/>
  </cols>
  <sheetData>
    <row r="1">
      <c r="A1" t="inlineStr">
        <is>
          <t>one-argument integer 0</t>
        </is>
      </c>
      <c r="B1">
        <v>255</v>
      </c>
      <c r="E1">
        <f>DEC2HEX(0)</f>
      </c>
      <c r="F1">
        <f>LEN(E1)</f>
      </c>
      <c r="G1">
        <f>ISTEXT(E1)</f>
      </c>
      <c r="H1">
        <f>E1&amp;":hex"</f>
      </c>
      <c r="I1">
        <f>VLOOKUP(E1,$N$1:$O$3,2,FALSE)</f>
      </c>
      <c r="N1" t="inlineStr">
        <is>
          <t>FF</t>
        </is>
      </c>
      <c r="O1">
        <v>42</v>
      </c>
    </row>
    <row r="2">
      <c r="B2">
        <v>254</v>
      </c>
      <c r="N2" t="inlineStr">
        <is>
          <t>0</t>
        </is>
      </c>
      <c r="O2">
        <v>10</v>
      </c>
    </row>
    <row r="3">
      <c r="B3" t="inlineStr">
        <is>
          <t>255</t>
        </is>
      </c>
      <c r="N3" t="inlineStr">
        <is>
          <t>7FFFFFFF</t>
        </is>
      </c>
      <c r="O3">
        <v>99</v>
      </c>
    </row>
    <row r="4">
      <c r="A4" t="inlineStr">
        <is>
          <t>one-argument integer 1</t>
        </is>
      </c>
      <c r="B4" t="b">
        <v>1</v>
      </c>
      <c r="E4">
        <f>DEC2HEX(1)</f>
      </c>
      <c r="F4">
        <f>LEN(E4)</f>
      </c>
      <c r="G4">
        <f>ISTEXT(E4)</f>
      </c>
      <c r="H4">
        <f>E4&amp;":hex"</f>
      </c>
      <c r="I4">
        <f>VLOOKUP(E4,$N$1:$O$3,2,FALSE)</f>
      </c>
    </row>
    <row r="5">
      <c r="B5"/>
    </row>
    <row r="6">
      <c r="B6" t="e">
        <v>#N/A</v>
      </c>
    </row>
    <row r="7">
      <c r="A7" t="inlineStr">
        <is>
          <t>one-argument integer 15</t>
        </is>
      </c>
      <c r="B7">
        <v>15</v>
      </c>
      <c r="E7">
        <f>DEC2HEX(15)</f>
      </c>
      <c r="F7">
        <f>LEN(E7)</f>
      </c>
      <c r="G7">
        <f>ISTEXT(E7)</f>
      </c>
      <c r="H7">
        <f>E7&amp;":hex"</f>
      </c>
      <c r="I7">
        <f>VLOOKUP(E7,$N$1:$O$3,2,FALSE)</f>
      </c>
    </row>
    <row r="8">
      <c r="B8">
        <v>16</v>
      </c>
    </row>
    <row r="10">
      <c r="A10" t="inlineStr">
        <is>
          <t>one-argument integer 16</t>
        </is>
      </c>
      <c r="E10">
        <f>DEC2HEX(16)</f>
      </c>
      <c r="F10">
        <f>LEN(E10)</f>
      </c>
      <c r="G10">
        <f>ISTEXT(E10)</f>
      </c>
      <c r="H10">
        <f>E10&amp;":hex"</f>
      </c>
      <c r="I10">
        <f>VLOOKUP(E10,$N$1:$O$3,2,FALSE)</f>
      </c>
    </row>
    <row r="13">
      <c r="A13" t="inlineStr">
        <is>
          <t>one-argument integer 255</t>
        </is>
      </c>
      <c r="E13">
        <f>DEC2HEX(255)</f>
      </c>
      <c r="F13">
        <f>LEN(E13)</f>
      </c>
      <c r="G13">
        <f>ISTEXT(E13)</f>
      </c>
      <c r="H13">
        <f>E13&amp;":hex"</f>
      </c>
      <c r="I13">
        <f>VLOOKUP(E13,$N$1:$O$3,2,FALSE)</f>
      </c>
    </row>
    <row r="16">
      <c r="A16" t="inlineStr">
        <is>
          <t>one-argument integer 2147483647</t>
        </is>
      </c>
      <c r="E16">
        <f>DEC2HEX(2147483647)</f>
      </c>
      <c r="F16">
        <f>LEN(E16)</f>
      </c>
      <c r="G16">
        <f>ISTEXT(E16)</f>
      </c>
      <c r="H16">
        <f>E16&amp;":hex"</f>
      </c>
      <c r="I16">
        <f>VLOOKUP(E16,$N$1:$O$3,2,FALSE)</f>
      </c>
    </row>
    <row r="19">
      <c r="A19" t="inlineStr">
        <is>
          <t>numeric reference</t>
        </is>
      </c>
      <c r="E19">
        <f>DEC2HEX($B$1)</f>
      </c>
    </row>
    <row r="22">
      <c r="A22" t="inlineStr">
        <is>
          <t>numeric reference plus expression</t>
        </is>
      </c>
      <c r="E22">
        <f>DEC2HEX($B$2+1)</f>
      </c>
    </row>
    <row r="25">
      <c r="A25" t="inlineStr">
        <is>
          <t>numeric expression</t>
        </is>
      </c>
      <c r="E25">
        <f>DEC2HEX(128+127)</f>
      </c>
    </row>
    <row r="28">
      <c r="A28" t="inlineStr">
        <is>
          <t>negative number</t>
        </is>
      </c>
      <c r="E28">
        <f>DEC2HEX(-1)</f>
      </c>
    </row>
    <row r="31">
      <c r="A31" t="inlineStr">
        <is>
          <t>fraction</t>
        </is>
      </c>
      <c r="E31">
        <f>DEC2HEX(1.5)</f>
      </c>
    </row>
    <row r="34">
      <c r="A34" t="inlineStr">
        <is>
          <t>outside proposed native bound</t>
        </is>
      </c>
      <c r="E34">
        <f>DEC2HEX(2147483648)</f>
      </c>
    </row>
    <row r="37">
      <c r="A37" t="inlineStr">
        <is>
          <t>Excel positive bound</t>
        </is>
      </c>
      <c r="E37">
        <f>DEC2HEX(549755813887)</f>
      </c>
    </row>
    <row r="40">
      <c r="A40" t="inlineStr">
        <is>
          <t>above Excel positive bound</t>
        </is>
      </c>
      <c r="E40">
        <f>DEC2HEX(549755813888)</f>
      </c>
    </row>
    <row r="43">
      <c r="A43" t="inlineStr">
        <is>
          <t>optional places padding</t>
        </is>
      </c>
      <c r="E43">
        <f>DEC2HEX(255,4)</f>
      </c>
    </row>
    <row r="46">
      <c r="A46" t="inlineStr">
        <is>
          <t>optional places too short</t>
        </is>
      </c>
      <c r="E46">
        <f>DEC2HEX(255,1)</f>
      </c>
    </row>
    <row r="49">
      <c r="A49" t="inlineStr">
        <is>
          <t>quoted numeric text</t>
        </is>
      </c>
      <c r="E49">
        <f>DEC2HEX("255")</f>
      </c>
    </row>
    <row r="52">
      <c r="A52" t="inlineStr">
        <is>
          <t>referenced numeric text</t>
        </is>
      </c>
      <c r="E52">
        <f>DEC2HEX($B$3)</f>
      </c>
    </row>
    <row r="55">
      <c r="A55" t="inlineStr">
        <is>
          <t>literal boolean</t>
        </is>
      </c>
      <c r="E55">
        <f>DEC2HEX(TRUE)</f>
      </c>
    </row>
    <row r="58">
      <c r="A58" t="inlineStr">
        <is>
          <t>referenced boolean</t>
        </is>
      </c>
      <c r="E58">
        <f>DEC2HEX($B$4)</f>
      </c>
    </row>
    <row r="61">
      <c r="A61" t="inlineStr">
        <is>
          <t>referenced blank</t>
        </is>
      </c>
      <c r="E61">
        <f>DEC2HEX($B$5)</f>
      </c>
    </row>
    <row r="64">
      <c r="A64" t="inlineStr">
        <is>
          <t>referenced error</t>
        </is>
      </c>
      <c r="E64">
        <f>DEC2HEX($B$6)</f>
      </c>
    </row>
    <row r="67">
      <c r="A67" t="inlineStr">
        <is>
          <t>formula error input</t>
        </is>
      </c>
      <c r="E67">
        <f>DEC2HEX(1/0)</f>
      </c>
    </row>
    <row r="70">
      <c r="A70" t="inlineStr">
        <is>
          <t>caught formula error</t>
        </is>
      </c>
      <c r="E70">
        <f>IFERROR(DEC2HEX(1/0),"caught")</f>
      </c>
    </row>
    <row r="73">
      <c r="A73" t="inlineStr">
        <is>
          <t>negative input is not a missing-subset error</t>
        </is>
      </c>
      <c r="E73">
        <f>IFERROR(DEC2HEX(-1),"incorrect-catch")</f>
      </c>
    </row>
    <row r="76">
      <c r="A76" t="inlineStr">
        <is>
          <t>native LEN expression dependent</t>
        </is>
      </c>
      <c r="E76">
        <f>LEN(DEC2HEX(255))</f>
      </c>
    </row>
    <row r="79">
      <c r="A79" t="inlineStr">
        <is>
          <t>native ISTEXT expression dependent</t>
        </is>
      </c>
      <c r="E79">
        <f>ISTEXT(DEC2HEX(255))</f>
      </c>
    </row>
    <row r="82">
      <c r="A82" t="inlineStr">
        <is>
          <t>native concatenation expression dependent</t>
        </is>
      </c>
      <c r="E82">
        <f>DEC2HEX(255)&amp;":hex"</f>
      </c>
    </row>
    <row r="85">
      <c r="A85" t="inlineStr">
        <is>
          <t>compatibility VLOOKUP expression dependent</t>
        </is>
      </c>
      <c r="E85">
        <f>VLOOKUP(DEC2HEX($B$1),$N$1:$O$3,2,FALSE)</f>
      </c>
    </row>
    <row r="88">
      <c r="A88" t="inlineStr">
        <is>
          <t>LEN reference dependent</t>
        </is>
      </c>
      <c r="E88">
        <f>LEN(E13)</f>
      </c>
    </row>
    <row r="91">
      <c r="A91" t="inlineStr">
        <is>
          <t>ISTEXT reference dependent</t>
        </is>
      </c>
      <c r="E91">
        <f>ISTEXT(E13)</f>
      </c>
    </row>
    <row r="94">
      <c r="A94" t="inlineStr">
        <is>
          <t>concatenation reference dependent</t>
        </is>
      </c>
      <c r="E94">
        <f>E13&amp;":hex"</f>
      </c>
    </row>
    <row r="97">
      <c r="A97" t="inlineStr">
        <is>
          <t>inactive fractional branch</t>
        </is>
      </c>
      <c r="E97">
        <f>IF(TRUE,DEC2HEX(255),DEC2HEX(1.5))</f>
      </c>
    </row>
    <row r="100">
      <c r="A100" t="inlineStr">
        <is>
          <t>selected qualified branch</t>
        </is>
      </c>
      <c r="E100">
        <f>IF(FALSE,DEC2HEX(1.5),DEC2HEX(255))</f>
      </c>
    </row>
    <row r="103">
      <c r="A103" t="inlineStr">
        <is>
          <t>qualified result through IFERROR</t>
        </is>
      </c>
      <c r="E103">
        <f>IFERROR(DEC2HEX(255),"caught")</f>
      </c>
    </row>
    <row r="106">
      <c r="A106" t="inlineStr">
        <is>
          <t>negative zero</t>
        </is>
      </c>
      <c r="E106">
        <f>DEC2HEX(-0)</f>
      </c>
    </row>
    <row r="109">
      <c r="A109" t="inlineStr">
        <is>
          <t>positive unary input</t>
        </is>
      </c>
      <c r="E109">
        <f>DEC2HEX(+1)</f>
      </c>
    </row>
    <row r="112">
      <c r="A112" t="inlineStr">
        <is>
          <t>invalid text</t>
        </is>
      </c>
      <c r="E112">
        <f>DEC2HEX("not-a-number")</f>
      </c>
    </row>
    <row r="115">
      <c r="A115" t="inlineStr">
        <is>
          <t>zero places</t>
        </is>
      </c>
      <c r="E115">
        <f>DEC2HEX(255,0)</f>
      </c>
    </row>
    <row r="118">
      <c r="A118" t="inlineStr">
        <is>
          <t>static numeric defined name</t>
        </is>
      </c>
      <c r="E118">
        <f>DEC2HEX(InputNumber)</f>
      </c>
    </row>
    <row r="124">
      <c r="A124" t="inlineStr">
        <is>
          <t>vertical numeric range with free destination</t>
        </is>
      </c>
      <c r="E124" cm="1">
        <f t="array" ref="E124">DEC2HEX($B$7:$B$8)</f>
      </c>
      <c r="I124" cm="1">
        <f t="array" ref="I124">SUM(_xlfn.ANCHORARRAY(E124))</f>
      </c>
    </row>
    <row r="130">
      <c r="A130" t="inlineStr">
        <is>
          <t>horizontal array with free destination</t>
        </is>
      </c>
      <c r="E130" cm="1">
        <f t="array" ref="E130">DEC2HEX({1,2})</f>
      </c>
      <c r="I130" cm="1">
        <f t="array" ref="I130">SUM(_xlfn.ANCHORARRAY(E130))</f>
      </c>
    </row>
    <row r="136">
      <c r="A136" t="inlineStr">
        <is>
          <t>vertical range with literal blocker</t>
        </is>
      </c>
      <c r="E136" cm="1">
        <f t="array" ref="E136">DEC2HEX($B$7:$B$8)</f>
      </c>
      <c r="I136" cm="1">
        <f t="array" ref="I136">SUM(_xlfn.ANCHORARRAY(E136))</f>
      </c>
    </row>
    <row r="137">
      <c r="E137" t="inlineStr">
        <is>
          <t>occupied</t>
        </is>
      </c>
    </row>
    <row r="142">
      <c r="A142" t="inlineStr">
        <is>
          <t>vertical range with styled blank destination</t>
        </is>
      </c>
      <c r="E142" cm="1">
        <f t="array" ref="E142">DEC2HEX($B$7:$B$8)</f>
      </c>
      <c r="I142" cm="1">
        <f t="array" ref="I142">SUM(_xlfn.ANCHORARRAY(E142))</f>
      </c>
    </row>
    <row r="143">
      <c r="E143" s="1"/>
    </row>
    <row r="148">
      <c r="A148" t="inlineStr">
        <is>
          <t>vertical range with zero blocker</t>
        </is>
      </c>
      <c r="E148" cm="1">
        <f t="array" ref="E148">DEC2HEX($B$7:$B$8)</f>
      </c>
      <c r="I148" cm="1">
        <f t="array" ref="I148">SUM(_xlfn.ANCHORARRAY(E148))</f>
      </c>
    </row>
    <row r="149">
      <c r="E149">
        <v>0</v>
      </c>
    </row>
    <row r="154">
      <c r="A154" t="inlineStr">
        <is>
          <t>horizontal array with merged destination</t>
        </is>
      </c>
      <c r="E154" cm="1">
        <f t="array" ref="E154">DEC2HEX({15,16})</f>
      </c>
      <c r="I154" cm="1">
        <f t="array" ref="I154">SUM(_xlfn.ANCHORARRAY(E154))</f>
      </c>
    </row>
    <row r="160">
      <c r="A160" t="inlineStr">
        <is>
          <t>horizontal padded array with free destination</t>
        </is>
      </c>
      <c r="E160" cm="1">
        <f t="array" ref="E160">DEC2HEX({255,16},4)</f>
      </c>
      <c r="I160" cm="1">
        <f t="array" ref="I160">SUM(_xlfn.ANCHORARRAY(E160))</f>
      </c>
    </row>
  </sheetData>
  <mergeCells count="1">
    <mergeCell ref="F154:G154"/>
  </mergeCells>
</worksheet>
</file>