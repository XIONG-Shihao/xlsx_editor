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4E9EBC9D-5260-4048-9BDE-79F315AEDD04}" xr6:coauthVersionLast="47" xr6:coauthVersionMax="47" xr10:uidLastSave="{00000000-0000-0000-0000-000000000000}"/>
  <bookViews>
    <workbookView xWindow="4420" yWindow="560" windowWidth="25500" windowHeight="17020" xr2:uid="{00000000-000D-0000-FFFF-FFFF00000000}"/>
  </bookViews>
  <sheets>
    <sheet name="Column" sheetId="1" r:id="rId1"/>
    <sheet name="Row" sheetId="2" r:id="rId2"/>
    <sheet name="Two" sheetId="3" r:id="rId3"/>
    <sheet name="Coerc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4" l="1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" i="4"/>
  <c r="J1" i="3"/>
  <c r="B1" i="3"/>
  <c r="E4" i="3" s="1"/>
  <c r="E6" i="2"/>
  <c r="J1" i="2"/>
  <c r="B1" i="2"/>
  <c r="E5" i="2" s="1"/>
  <c r="J1" i="1"/>
  <c r="G1" i="1"/>
  <c r="B1" i="1"/>
  <c r="F1" i="1" s="1"/>
</calcChain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<sst xmlns="http://schemas.openxmlformats.org/spreadsheetml/2006/main" count="1" uniqueCount="1">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</sst>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2</v>
      </c>
      <c r="B1">
        <f>SUM(A1:A2)*A3</f>
        <v>21</v>
      </c>
      <c r="F1">
        <f>B1</f>
        <v>21</v>
      </c>
      <c r="G1">
        <f>A1-A2</f>
        <v>-3</v>
      </c>
      <c r="J1">
        <f>SUM(F2:G4)</f>
        <v>58</v>
      </c>
    </row>
    <row r="2" spans="1:10" x14ac:dyDescent="0.2">
      <c r="A2">
        <v>5</v>
      </c>
      <c r="E2">
        <v>1</v>
      </c>
      <c r="F2">
        <f t="dataTable" ref="F2:G4" dt2D="0" dtr="0" r1="A1"/>
        <v>18</v>
      </c>
      <c r="G2">
        <v>-4</v>
      </c>
    </row>
    <row r="3" spans="1:10" x14ac:dyDescent="0.2">
      <c r="A3">
        <v>3</v>
      </c>
      <c r="E3">
        <v>2</v>
      </c>
      <c r="F3">
        <v>21</v>
      </c>
      <c r="G3">
        <v>-3</v>
      </c>
    </row>
    <row r="4" spans="1:10" x14ac:dyDescent="0.2">
      <c r="E4">
        <v>4</v>
      </c>
      <c r="F4">
        <v>27</v>
      </c>
      <c r="G4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/>
  </sheetViews>
  <sheetFormatPr baseColWidth="10" defaultColWidth="8.83203125" defaultRowHeight="15" x14ac:dyDescent="0.2"/>
  <sheetData>
    <row r="1" spans="1:10" x14ac:dyDescent="0.2">
      <c r="A1">
        <v>2</v>
      </c>
      <c r="B1">
        <f>SUM(A1:A2)*A3</f>
        <v>21</v>
      </c>
      <c r="J1">
        <f>SUM(F5:H6)</f>
        <v>58</v>
      </c>
    </row>
    <row r="2" spans="1:10" x14ac:dyDescent="0.2">
      <c r="A2">
        <v>5</v>
      </c>
    </row>
    <row r="3" spans="1:10" x14ac:dyDescent="0.2">
      <c r="A3">
        <v>3</v>
      </c>
    </row>
    <row r="4" spans="1:10" x14ac:dyDescent="0.2">
      <c r="F4">
        <v>1</v>
      </c>
      <c r="G4">
        <v>2</v>
      </c>
      <c r="H4">
        <v>4</v>
      </c>
    </row>
    <row r="5" spans="1:10" x14ac:dyDescent="0.2">
      <c r="E5">
        <f>B1</f>
        <v>21</v>
      </c>
      <c r="F5">
        <f t="dataTable" ref="F5:H6" dt2D="0" dtr="1" r1="A1"/>
        <v>18</v>
      </c>
      <c r="G5">
        <v>21</v>
      </c>
      <c r="H5">
        <v>27</v>
      </c>
    </row>
    <row r="6" spans="1:10" x14ac:dyDescent="0.2">
      <c r="E6">
        <f>A1-A2</f>
        <v>-3</v>
      </c>
      <c r="F6">
        <v>-4</v>
      </c>
      <c r="G6">
        <v>-3</v>
      </c>
      <c r="H6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baseColWidth="10" defaultColWidth="8.83203125" defaultRowHeight="15" x14ac:dyDescent="0.2"/>
  <sheetData>
    <row r="1" spans="1:10" x14ac:dyDescent="0.2">
      <c r="A1">
        <v>2</v>
      </c>
      <c r="B1">
        <f>SUM(A1:A2)*A3</f>
        <v>21</v>
      </c>
      <c r="J1">
        <f>SUM(F5:H6)</f>
        <v>312</v>
      </c>
    </row>
    <row r="2" spans="1:10" x14ac:dyDescent="0.2">
      <c r="A2">
        <v>5</v>
      </c>
    </row>
    <row r="3" spans="1:10" x14ac:dyDescent="0.2">
      <c r="A3">
        <v>3</v>
      </c>
    </row>
    <row r="4" spans="1:10" x14ac:dyDescent="0.2">
      <c r="E4">
        <f>B1</f>
        <v>21</v>
      </c>
      <c r="F4">
        <v>1</v>
      </c>
      <c r="G4">
        <v>2</v>
      </c>
      <c r="H4">
        <v>4</v>
      </c>
    </row>
    <row r="5" spans="1:10" x14ac:dyDescent="0.2">
      <c r="E5">
        <v>10</v>
      </c>
      <c r="F5">
        <f t="dataTable" ref="F5:H6" dt2D="1" dtr="0" r1="A1" r2="A2"/>
        <v>33</v>
      </c>
      <c r="G5">
        <v>36</v>
      </c>
      <c r="H5">
        <v>42</v>
      </c>
    </row>
    <row r="6" spans="1:10" x14ac:dyDescent="0.2">
      <c r="E6">
        <v>20</v>
      </c>
      <c r="F6">
        <v>63</v>
      </c>
      <c r="G6">
        <v>66</v>
      </c>
      <c r="H6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>
        <f>"12"+1</f>
        <v>13</v>
      </c>
    </row>
    <row r="2" spans="1:2" x14ac:dyDescent="0.2">
      <c r="A2" t="b">
        <v>1</v>
      </c>
      <c r="B2">
        <f>" 12 "+1</f>
        <v>13</v>
      </c>
    </row>
    <row r="3" spans="1:2" x14ac:dyDescent="0.2">
      <c r="B3">
        <f>"12.5"*2</f>
        <v>25</v>
      </c>
    </row>
    <row r="4" spans="1:2" x14ac:dyDescent="0.2">
      <c r="B4">
        <f>"-2.5"/2</f>
        <v>-1.25</v>
      </c>
    </row>
    <row r="5" spans="1:2" x14ac:dyDescent="0.2">
      <c r="B5">
        <f>"1e2"-1</f>
        <v>99</v>
      </c>
    </row>
    <row r="6" spans="1:2" x14ac:dyDescent="0.2">
      <c r="B6">
        <f>TRUE+2</f>
        <v>3</v>
      </c>
    </row>
    <row r="7" spans="1:2" x14ac:dyDescent="0.2">
      <c r="B7">
        <f>FALSE*3</f>
        <v>0</v>
      </c>
    </row>
    <row r="8" spans="1:2" x14ac:dyDescent="0.2">
      <c r="B8">
        <f>A1+1</f>
        <v>13</v>
      </c>
    </row>
    <row r="9" spans="1:2" x14ac:dyDescent="0.2">
      <c r="B9">
        <f>A2+1</f>
        <v>2</v>
      </c>
    </row>
    <row r="10" spans="1:2" x14ac:dyDescent="0.2">
      <c r="B10">
        <f>A3+1</f>
        <v>1</v>
      </c>
    </row>
    <row r="11" spans="1:2" x14ac:dyDescent="0.2">
      <c r="B11" t="str">
        <f>IFERROR(""+1,"bad")</f>
        <v>bad</v>
      </c>
    </row>
    <row r="12" spans="1:2" x14ac:dyDescent="0.2">
      <c r="B12" t="str">
        <f>IFERROR("x"+1,"bad")</f>
        <v>bad</v>
      </c>
    </row>
    <row r="13" spans="1:2" x14ac:dyDescent="0.2">
      <c r="B13">
        <f>-"12"</f>
        <v>-12</v>
      </c>
    </row>
    <row r="14" spans="1:2" x14ac:dyDescent="0.2">
      <c r="B14">
        <f>"12"%</f>
        <v>0.12</v>
      </c>
    </row>
    <row r="15" spans="1:2" x14ac:dyDescent="0.2">
      <c r="B15" t="str">
        <f>IFERROR("  "+1,"bad")</f>
        <v>bad</v>
      </c>
    </row>
    <row r="16" spans="1:2" x14ac:dyDescent="0.2">
      <c r="B16">
        <f>IF(TRUE,"12",0)+1</f>
        <v>13</v>
      </c>
    </row>
    <row r="17" spans="2:2" x14ac:dyDescent="0.2">
      <c r="B17">
        <f>("0.1"+"0.2"-"0.3")</f>
        <v>5.5511151231257827E-17</v>
      </c>
    </row>
    <row r="18" spans="2:2" x14ac:dyDescent="0.2">
      <c r="B18">
        <f>"0.1"+"0.2"-"0.3"</f>
        <v>0</v>
      </c>
    </row>
    <row r="19" spans="2:2" x14ac:dyDescent="0.2">
      <c r="B19">
        <f>IFERROR("1,200"+1,"bad")</f>
        <v>1201</v>
      </c>
    </row>
    <row r="20" spans="2:2" x14ac:dyDescent="0.2">
      <c r="B20">
        <f>IFERROR("12%"+1,"bad")</f>
        <v>1.1200000000000001</v>
      </c>
    </row>
    <row r="21" spans="2:2" x14ac:dyDescent="0.2">
      <c r="B21">
        <f>"3"*0.1</f>
        <v>0.30000000000000004</v>
      </c>
    </row>
    <row r="22" spans="2:2" x14ac:dyDescent="0.2">
      <c r="B22">
        <f>TRUE+0.1</f>
        <v>1.1000000000000001</v>
      </c>
    </row>
    <row r="23" spans="2:2" x14ac:dyDescent="0.2">
      <c r="B23">
        <f>"12"/5</f>
        <v>2.4</v>
      </c>
    </row>
    <row r="24" spans="2:2" x14ac:dyDescent="0.2">
      <c r="B24">
        <f>"2"^3</f>
        <v>8</v>
      </c>
    </row>
    <row r="25" spans="2:2" x14ac:dyDescent="0.2">
      <c r="B25">
        <f>"100"%</f>
        <v>1</v>
      </c>
    </row>
    <row r="26" spans="2:2" x14ac:dyDescent="0.2">
      <c r="B26" t="str">
        <f>IFERROR("12"/0,"bad")</f>
        <v>bad</v>
      </c>
    </row>
    <row r="27" spans="2:2" x14ac:dyDescent="0.2">
      <c r="B27">
        <f>"1,234.5"+1</f>
        <v>1235.5</v>
      </c>
    </row>
    <row r="28" spans="2:2" x14ac:dyDescent="0.2">
      <c r="B28">
        <f>"12.5%"*8</f>
        <v>1</v>
      </c>
    </row>
    <row r="29" spans="2:2" x14ac:dyDescent="0.2">
      <c r="B29" t="str">
        <f>IFERROR("1,2"+1,"bad")</f>
        <v>bad</v>
      </c>
    </row>
    <row r="30" spans="2:2" x14ac:dyDescent="0.2">
      <c r="B30" t="str">
        <f>IFERROR("--1"+1,"bad")</f>
        <v>bad</v>
      </c>
    </row>
    <row r="31" spans="2:2" x14ac:dyDescent="0.2">
      <c r="B31">
        <f>("0.1"+"0.2")</f>
        <v>0.30000000000000004</v>
      </c>
    </row>
    <row r="32" spans="2:2" x14ac:dyDescent="0.2">
      <c r="B32">
        <f>A1/5</f>
        <v>2.4</v>
      </c>
    </row>
    <row r="33" spans="2:2" x14ac:dyDescent="0.2">
      <c r="B33">
        <f>IF(TRUE,"0.25","bad")*4</f>
        <v>1</v>
      </c>
    </row>
    <row r="34" spans="2:2" x14ac:dyDescent="0.2">
      <c r="B34">
        <f>(TRUE+0.1)-0.1</f>
        <v>1</v>
      </c>
    </row>
    <row r="35" spans="2:2" x14ac:dyDescent="0.2">
      <c r="B35">
        <f>"2.5e-1"*4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</vt:lpstr>
      <vt:lpstr>Row</vt:lpstr>
      <vt:lpstr>Two</vt:lpstr>
      <vt:lpstr>Coercion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u3683155@connect.hku.hk</cp:lastModifiedBy>
  <dcterms:created xsi:type="dcterms:W3CDTF">2026-09-28T09:39:22Z</dcterms:created>
  <dcterms:modified xsi:type="dcterms:W3CDTF">2026-09-28T09:40:16Z</dcterms:modified>
</cp:coreProperties>
</file>